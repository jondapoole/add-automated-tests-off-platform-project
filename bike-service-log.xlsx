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ervice log" sheetId="1" state="visible" r:id="rId1"/>
    <sheet name="Bikes" sheetId="2" state="visible" r:id="rId2"/>
    <sheet name="Latest" sheetId="3" state="visible" r:id="rId3"/>
    <sheet name="How to use" sheetId="4" state="visible" r:id="rId4"/>
    <sheet name="Lists" sheetId="5" state="hidden" r:id="rId5"/>
  </sheets>
  <definedNames>
    <definedName name="CleanupList">Lists!$A$2:$A$3</definedName>
    <definedName name="CheckList">Lists!$B$2:$B$4</definedName>
    <definedName name="HeadsetList">Lists!$C$2:$C$4</definedName>
    <definedName name="TypeList">Lists!$D$2:$D$10</definedName>
    <definedName name="ChainList">Lists!$E$2:$E$6</definedName>
    <definedName name="UnitList">Lists!$F$2:$F$3</definedName>
    <definedName name="BikeList">OFFSET(Bikes!$A$5,0,0,COUNTA(Bikes!$A$5:$A$34),1)</definedName>
    <definedName name="_xlnm._FilterDatabase" localSheetId="0" hidden="1">'Service log'!$A$4:$R$304</definedName>
    <definedName name="_xlnm.Print_Titles" localSheetId="0">'Service log'!$1:$4</definedName>
    <definedName name="_xlnm._FilterDatabase" localSheetId="1" hidden="1">'Bikes'!$A$4:$I$34</definedName>
    <definedName name="_xlnm.Print_Titles" localSheetId="1">'Bikes'!$1:$4</definedName>
    <definedName name="_xlnm._FilterDatabase" localSheetId="2" hidden="1">'Latest'!$A$5:$L$35</definedName>
    <definedName name="_xlnm.Print_Titles" localSheetId="2">'Latest'!$1:$5</definedName>
    <definedName name="_xlnm.Print_Titles" localSheetId="3">'How to use'!$1:$1</definedName>
  </definedNames>
  <calcPr calcId="124519" calcMode="auto" fullCalcOnLoad="1"/>
</workbook>
</file>

<file path=xl/styles.xml><?xml version="1.0" encoding="utf-8"?>
<styleSheet xmlns="http://schemas.openxmlformats.org/spreadsheetml/2006/main">
  <numFmts count="3">
    <numFmt numFmtId="164" formatCode="yyyy-mm-dd"/>
    <numFmt numFmtId="165" formatCode="DD/MM/YYYY"/>
    <numFmt numFmtId="166" formatCode="0.##"/>
  </numFmts>
  <fonts count="12">
    <font>
      <name val="Calibri"/>
      <family val="2"/>
      <color theme="1"/>
      <sz val="11"/>
      <scheme val="minor"/>
    </font>
    <font>
      <name val="Calibri"/>
      <b val="1"/>
      <color rgb="00FFFFFF"/>
      <sz val="11"/>
    </font>
    <font>
      <name val="Calibri"/>
      <b val="1"/>
      <color rgb="001B4332"/>
      <sz val="20"/>
    </font>
    <font>
      <name val="Calibri"/>
      <color rgb="001F2933"/>
      <sz val="12"/>
    </font>
    <font>
      <name val="Calibri"/>
      <color rgb="001F2933"/>
      <sz val="11"/>
    </font>
    <font>
      <name val="Calibri"/>
      <i val="1"/>
      <color rgb="0092400E"/>
      <sz val="11"/>
    </font>
    <font>
      <name val="Calibri"/>
      <color rgb="0052606D"/>
      <sz val="11"/>
    </font>
    <font>
      <name val="Calibri"/>
      <b val="1"/>
      <color rgb="001B4332"/>
      <sz val="16"/>
    </font>
    <font>
      <name val="Calibri"/>
      <b val="1"/>
      <color rgb="001B4332"/>
      <sz val="14"/>
    </font>
    <font>
      <name val="Calibri"/>
      <color rgb="00166534"/>
      <sz val="11"/>
    </font>
    <font>
      <name val="Calibri"/>
      <color rgb="009A3412"/>
      <sz val="11"/>
    </font>
    <font>
      <name val="Calibri"/>
      <color rgb="004B5563"/>
      <sz val="11"/>
    </font>
  </fonts>
  <fills count="9">
    <fill>
      <patternFill/>
    </fill>
    <fill>
      <patternFill patternType="gray125"/>
    </fill>
    <fill>
      <patternFill patternType="solid">
        <fgColor rgb="001B4332"/>
      </patternFill>
    </fill>
    <fill>
      <patternFill patternType="solid">
        <fgColor rgb="00E7F5EE"/>
      </patternFill>
    </fill>
    <fill>
      <patternFill patternType="solid">
        <fgColor rgb="00F4FBF7"/>
      </patternFill>
    </fill>
    <fill>
      <patternFill patternType="solid">
        <fgColor rgb="00FFFFFF"/>
      </patternFill>
    </fill>
    <fill>
      <patternFill patternType="solid">
        <fgColor rgb="00D8F3DC"/>
      </patternFill>
    </fill>
    <fill>
      <patternFill patternType="solid">
        <fgColor rgb="00FDE8D0"/>
      </patternFill>
    </fill>
    <fill>
      <patternFill patternType="solid">
        <fgColor rgb="00F3F4F6"/>
      </patternFill>
    </fill>
  </fills>
  <borders count="2">
    <border>
      <left/>
      <right/>
      <top/>
      <bottom/>
      <diagonal/>
    </border>
    <border>
      <left style="thin">
        <color rgb="00D5DDD8"/>
      </left>
      <right style="thin">
        <color rgb="00D5DDD8"/>
      </right>
      <top style="thin">
        <color rgb="00D5DDD8"/>
      </top>
      <bottom style="thin">
        <color rgb="00D5DDD8"/>
      </bottom>
    </border>
  </borders>
  <cellStyleXfs count="1">
    <xf numFmtId="0" fontId="0" fillId="0" borderId="0"/>
  </cellStyleXfs>
  <cellXfs count="25">
    <xf numFmtId="0" fontId="0" fillId="0" borderId="0" pivotButton="0" quotePrefix="0" xfId="0"/>
    <xf numFmtId="0" fontId="2" fillId="4" borderId="0" applyAlignment="1" pivotButton="0" quotePrefix="0" xfId="0">
      <alignment horizontal="left" vertical="center"/>
    </xf>
    <xf numFmtId="0" fontId="0" fillId="4" borderId="0" pivotButton="0" quotePrefix="0" xfId="0"/>
    <xf numFmtId="0" fontId="3" fillId="3" borderId="0" applyAlignment="1" pivotButton="0" quotePrefix="0" xfId="0">
      <alignment horizontal="left" vertical="center" wrapText="1"/>
    </xf>
    <xf numFmtId="0" fontId="0" fillId="3" borderId="0" applyAlignment="1" pivotButton="0" quotePrefix="0" xfId="0">
      <alignment horizontal="left" vertical="center" wrapText="1"/>
    </xf>
    <xf numFmtId="0" fontId="1" fillId="2" borderId="1" applyAlignment="1" pivotButton="0" quotePrefix="0" xfId="0">
      <alignment horizontal="center" vertical="center" wrapText="1"/>
    </xf>
    <xf numFmtId="165" fontId="4" fillId="5"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5" borderId="1" applyAlignment="1" pivotButton="0" quotePrefix="0" xfId="0">
      <alignment horizontal="left" vertical="center" wrapText="1"/>
    </xf>
    <xf numFmtId="166" fontId="4" fillId="5" borderId="1" applyAlignment="1" pivotButton="0" quotePrefix="0" xfId="0">
      <alignment horizontal="center" vertical="center" wrapText="1"/>
    </xf>
    <xf numFmtId="0" fontId="5" fillId="5" borderId="1" applyAlignment="1" pivotButton="0" quotePrefix="0" xfId="0">
      <alignment horizontal="left" vertical="center" wrapText="1"/>
    </xf>
    <xf numFmtId="1" fontId="4" fillId="5" borderId="1" applyAlignment="1" pivotButton="0" quotePrefix="0" xfId="0">
      <alignment horizontal="center" vertical="center" wrapText="1"/>
    </xf>
    <xf numFmtId="49" fontId="4" fillId="5" borderId="1" applyAlignment="1" pivotButton="0" quotePrefix="0" xfId="0">
      <alignment horizontal="left" vertical="center" wrapText="1"/>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8" fillId="0" borderId="0" applyAlignment="1" pivotButton="0" quotePrefix="0" xfId="0">
      <alignment horizontal="left" vertical="center"/>
    </xf>
    <xf numFmtId="0" fontId="3" fillId="0" borderId="0" applyAlignment="1" pivotButton="0" quotePrefix="0" xfId="0">
      <alignment horizontal="left" vertical="top" wrapText="1"/>
    </xf>
    <xf numFmtId="0" fontId="1" fillId="2" borderId="1" applyAlignment="1" pivotButton="0" quotePrefix="0" xfId="0">
      <alignment horizontal="left" vertical="center" wrapText="1"/>
    </xf>
    <xf numFmtId="0" fontId="9" fillId="6" borderId="1" applyAlignment="1" pivotButton="0" quotePrefix="0" xfId="0">
      <alignment horizontal="left" vertical="center" wrapText="1"/>
    </xf>
    <xf numFmtId="0" fontId="3" fillId="0" borderId="1" applyAlignment="1" pivotButton="0" quotePrefix="0" xfId="0">
      <alignment horizontal="left" vertical="center" wrapText="1"/>
    </xf>
    <xf numFmtId="0" fontId="10" fillId="7" borderId="1" applyAlignment="1" pivotButton="0" quotePrefix="0" xfId="0">
      <alignment horizontal="left" vertical="center" wrapText="1"/>
    </xf>
    <xf numFmtId="0" fontId="11" fillId="8" borderId="1" applyAlignment="1" pivotButton="0" quotePrefix="0" xfId="0">
      <alignment horizontal="left" vertical="center" wrapText="1"/>
    </xf>
    <xf numFmtId="0" fontId="1" fillId="2" borderId="0" pivotButton="0" quotePrefix="0" xfId="0"/>
  </cellXfs>
  <cellStyles count="1">
    <cellStyle name="Normal" xfId="0" builtinId="0" hidden="0"/>
  </cellStyles>
  <dxfs count="4">
    <dxf>
      <font>
        <name val="Calibri"/>
        <color rgb="00166534"/>
        <sz val="11"/>
      </font>
      <fill>
        <patternFill patternType="solid">
          <fgColor rgb="00D8F3DC"/>
        </patternFill>
      </fill>
    </dxf>
    <dxf>
      <font>
        <name val="Calibri"/>
        <color rgb="009A3412"/>
        <sz val="11"/>
      </font>
      <fill>
        <patternFill patternType="solid">
          <fgColor rgb="00FDE8D0"/>
        </patternFill>
      </fill>
    </dxf>
    <dxf>
      <font>
        <name val="Calibri"/>
        <color rgb="004B5563"/>
        <sz val="11"/>
      </font>
      <fill>
        <patternFill patternType="solid">
          <fgColor rgb="00F3F4F6"/>
        </patternFill>
      </fill>
    </dxf>
    <dxf>
      <font>
        <name val="Calibri"/>
        <b val="1"/>
        <color rgb="009A3412"/>
        <sz val="1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Bike service log</author>
  </authors>
  <commentList>
    <comment ref="B4" authorId="0" shapeId="0">
      <text>
        <t>Pick a bike from the Bikes sheet.</t>
      </text>
    </comment>
    <comment ref="C4" authorId="0" shapeId="0">
      <text>
        <t>Who did the work. Optional.</t>
      </text>
    </comment>
    <comment ref="D4" authorId="0" shapeId="0">
      <text>
        <t>Wipe the frame, and clean the chain, cassette, chainrings, and jockey wheels.</t>
      </text>
    </comment>
    <comment ref="F4" authorId="0" shapeId="0">
      <text>
        <t>Cassette, chainrings, and that the gears shift cleanly. Chain wear has its own column.</t>
      </text>
    </comment>
    <comment ref="G4" authorId="0" shapeId="0">
      <text>
        <t>The mark on a chain checker: under 0.5%, 0.5%, 0.75%, or 1% or more.</t>
      </text>
    </comment>
    <comment ref="I4" authorId="0" shapeId="0">
      <text>
        <t>Pads, discs or rims, and lever feel. Note any rub.</t>
      </text>
    </comment>
    <comment ref="K4" authorId="0" shapeId="0">
      <text>
        <t>Hold the front brake and rock the bike. A knock or movement at the headset is play.</t>
      </text>
    </comment>
    <comment ref="M4" authorId="0" shapeId="0">
      <text>
        <t>Both tyres: cuts, wear, and that the bead is seated. Pressure is recorded beside this.</t>
      </text>
    </comment>
    <comment ref="O4" authorId="0" shapeId="0">
      <text>
        <t>Pressure in the front tyre. Use the same unit as the rear.</t>
      </text>
    </comment>
    <comment ref="P4" authorId="0" shapeId="0">
      <text>
        <t>Pressure in the rear tyre.</t>
      </text>
    </comment>
    <comment ref="Q4" authorId="0" shapeId="0">
      <text>
        <t>psi or bar. Stick to one unit for the bike.</t>
      </text>
    </comment>
    <comment ref="R4" authorId="0" shapeId="0">
      <text>
        <t>Anything else done or noticed on this visit.</t>
      </text>
    </comment>
  </commentList>
</comments>
</file>

<file path=xl/comments/comment2.xml><?xml version="1.0" encoding="utf-8"?>
<comments xmlns="http://schemas.openxmlformats.org/spreadsheetml/2006/main">
  <authors>
    <author>Bike service log</author>
  </authors>
  <commentList>
    <comment ref="A4" authorId="0" shapeId="0">
      <text>
        <t>The name you want on the service log. Keep each name unique.</t>
      </text>
    </comment>
    <comment ref="D4" authorId="0" shapeId="0">
      <text>
        <t>Optional. Useful when the bikes are different kinds of machine.</t>
      </text>
    </comment>
    <comment ref="G4" authorId="0" shapeId="0">
      <text>
        <t>Stored as text so leading zeros are kept.</t>
      </text>
    </comment>
  </commentList>
</comments>
</file>

<file path=xl/comments/comment3.xml><?xml version="1.0" encoding="utf-8"?>
<comments xmlns="http://schemas.openxmlformats.org/spreadsheetml/2006/main">
  <authors>
    <author>Bike service log</author>
  </authors>
  <commentList>
    <comment ref="E5" authorId="0" shapeId="0">
      <text>
        <t>Chain-checker reading from the last visit. 0.75% and 1% or more count as needs a look.</t>
      </text>
    </comment>
    <comment ref="I5" authorId="0" shapeId="0">
      <text>
        <t>Front pressure from the last visit. The number is not judged.</t>
      </text>
    </comment>
    <comment ref="J5" authorId="0" shapeId="0">
      <text>
        <t>Rear pressure from the last visit. The number is not judged.</t>
      </text>
    </comment>
    <comment ref="L5" authorId="0" shapeId="0">
      <text>
        <t>Yes if the last visit needs work. No if that visit was fine. No record if the bike has no visit yet.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001B4332"/>
    <outlinePr summaryBelow="1" summaryRight="1"/>
    <pageSetUpPr fitToPage="1"/>
  </sheetPr>
  <dimension ref="A1:R304"/>
  <sheetViews>
    <sheetView showGridLines="0" zoomScale="110" workbookViewId="0">
      <pane ySplit="4" topLeftCell="A5" activePane="bottomLeft" state="frozen"/>
      <selection pane="bottomLeft" activeCell="A6" sqref="A6"/>
    </sheetView>
  </sheetViews>
  <sheetFormatPr baseColWidth="8" defaultRowHeight="15"/>
  <cols>
    <col width="14" customWidth="1" min="1" max="1"/>
    <col width="22" customWidth="1" min="2" max="2"/>
    <col width="16" customWidth="1" min="3" max="3"/>
    <col width="24" customWidth="1" min="4" max="4"/>
    <col width="32" customWidth="1" min="5" max="5"/>
    <col width="16" customWidth="1" min="6" max="6"/>
    <col width="14" customWidth="1" min="7" max="7"/>
    <col width="28" customWidth="1" min="8" max="8"/>
    <col width="16" customWidth="1" min="9" max="9"/>
    <col width="28" customWidth="1" min="10" max="10"/>
    <col width="16" customWidth="1" min="11" max="11"/>
    <col width="28" customWidth="1" min="12" max="12"/>
    <col width="14" customWidth="1" min="13" max="13"/>
    <col width="28" customWidth="1" min="14" max="14"/>
    <col width="15" customWidth="1" min="15" max="15"/>
    <col width="15" customWidth="1" min="16" max="16"/>
    <col width="12" customWidth="1" min="17" max="17"/>
    <col width="36" customWidth="1" min="18" max="18"/>
  </cols>
  <sheetData>
    <row r="1" ht="30" customHeight="1">
      <c r="A1" s="1" t="inlineStr">
        <is>
          <t>Bike service log</t>
        </is>
      </c>
      <c r="B1" s="2" t="n"/>
      <c r="C1" s="2" t="n"/>
      <c r="D1" s="2" t="n"/>
      <c r="E1" s="2" t="n"/>
      <c r="F1" s="2" t="n"/>
      <c r="G1" s="2" t="n"/>
      <c r="H1" s="2" t="n"/>
      <c r="I1" s="2" t="n"/>
      <c r="J1" s="2" t="n"/>
      <c r="K1" s="2" t="n"/>
      <c r="L1" s="2" t="n"/>
      <c r="M1" s="2" t="n"/>
      <c r="N1" s="2" t="n"/>
      <c r="O1" s="2" t="n"/>
      <c r="P1" s="2" t="n"/>
      <c r="Q1" s="2" t="n"/>
      <c r="R1" s="2" t="n"/>
    </row>
    <row r="2" ht="36" customHeight="1">
      <c r="A2" s="3" t="inlineStr">
        <is>
          <t>One row each time you work on a bike. Pick the bike, then set each dropdown. Record the chain-wear reading and the front and rear tyre pressure. Write a note when something needs attention. Dates are day/month/year.</t>
        </is>
      </c>
      <c r="B2" s="4" t="n"/>
      <c r="C2" s="4" t="n"/>
      <c r="D2" s="4" t="n"/>
      <c r="E2" s="4" t="n"/>
      <c r="F2" s="4" t="n"/>
      <c r="G2" s="4" t="n"/>
      <c r="H2" s="4" t="n"/>
      <c r="I2" s="4" t="n"/>
      <c r="J2" s="4" t="n"/>
      <c r="K2" s="4" t="n"/>
      <c r="L2" s="4" t="n"/>
      <c r="M2" s="4" t="n"/>
      <c r="N2" s="4" t="n"/>
      <c r="O2" s="4" t="n"/>
      <c r="P2" s="4" t="n"/>
      <c r="Q2" s="4" t="n"/>
      <c r="R2" s="4" t="n"/>
    </row>
    <row r="3" ht="10" customHeight="1"/>
    <row r="4" ht="36" customHeight="1">
      <c r="A4" s="5" t="inlineStr">
        <is>
          <t>Date</t>
        </is>
      </c>
      <c r="B4" s="5" t="inlineStr">
        <is>
          <t>Bike</t>
        </is>
      </c>
      <c r="C4" s="5" t="inlineStr">
        <is>
          <t>Done by</t>
        </is>
      </c>
      <c r="D4" s="5" t="inlineStr">
        <is>
          <t>Clean-up
(frame and drivetrain)</t>
        </is>
      </c>
      <c r="E4" s="5" t="inlineStr">
        <is>
          <t>Clean-up notes</t>
        </is>
      </c>
      <c r="F4" s="5" t="inlineStr">
        <is>
          <t>Drivetrain</t>
        </is>
      </c>
      <c r="G4" s="5" t="inlineStr">
        <is>
          <t>Chain wear</t>
        </is>
      </c>
      <c r="H4" s="5" t="inlineStr">
        <is>
          <t>Drivetrain notes</t>
        </is>
      </c>
      <c r="I4" s="5" t="inlineStr">
        <is>
          <t>Brakes</t>
        </is>
      </c>
      <c r="J4" s="5" t="inlineStr">
        <is>
          <t>Brake notes</t>
        </is>
      </c>
      <c r="K4" s="5" t="inlineStr">
        <is>
          <t>Headset play</t>
        </is>
      </c>
      <c r="L4" s="5" t="inlineStr">
        <is>
          <t>Headset notes</t>
        </is>
      </c>
      <c r="M4" s="5" t="inlineStr">
        <is>
          <t>Tyres</t>
        </is>
      </c>
      <c r="N4" s="5" t="inlineStr">
        <is>
          <t>Tyre notes</t>
        </is>
      </c>
      <c r="O4" s="5" t="inlineStr">
        <is>
          <t>Front pressure</t>
        </is>
      </c>
      <c r="P4" s="5" t="inlineStr">
        <is>
          <t>Rear pressure</t>
        </is>
      </c>
      <c r="Q4" s="5" t="inlineStr">
        <is>
          <t>Unit</t>
        </is>
      </c>
      <c r="R4" s="5" t="inlineStr">
        <is>
          <t>Other notes</t>
        </is>
      </c>
    </row>
    <row r="5" ht="22" customHeight="1">
      <c r="A5" s="6" t="n">
        <v>46317</v>
      </c>
      <c r="B5" s="7" t="inlineStr">
        <is>
          <t>Example bike 1</t>
        </is>
      </c>
      <c r="C5" s="7" t="inlineStr">
        <is>
          <t>Example</t>
        </is>
      </c>
      <c r="D5" s="7" t="inlineStr">
        <is>
          <t>Done</t>
        </is>
      </c>
      <c r="E5" s="8" t="inlineStr">
        <is>
          <t>Wiped the frame and degreased the chain.</t>
        </is>
      </c>
      <c r="F5" s="7" t="inlineStr">
        <is>
          <t>OK</t>
        </is>
      </c>
      <c r="G5" s="7" t="inlineStr">
        <is>
          <t>0.5%</t>
        </is>
      </c>
      <c r="H5" s="8" t="inlineStr">
        <is>
          <t>Gears shift cleanly.</t>
        </is>
      </c>
      <c r="I5" s="7" t="inlineStr">
        <is>
          <t>Needs attention</t>
        </is>
      </c>
      <c r="J5" s="8" t="inlineStr">
        <is>
          <t>Rear pads are low.</t>
        </is>
      </c>
      <c r="K5" s="7" t="inlineStr">
        <is>
          <t>No play</t>
        </is>
      </c>
      <c r="L5" s="8" t="n"/>
      <c r="M5" s="7" t="inlineStr">
        <is>
          <t>OK</t>
        </is>
      </c>
      <c r="N5" s="8" t="inlineStr">
        <is>
          <t>No cuts.</t>
        </is>
      </c>
      <c r="O5" s="9" t="n">
        <v>65</v>
      </c>
      <c r="P5" s="9" t="n">
        <v>70</v>
      </c>
      <c r="Q5" s="7" t="inlineStr">
        <is>
          <t>psi</t>
        </is>
      </c>
      <c r="R5" s="10" t="inlineStr">
        <is>
          <t>Example row — delete this before you start your own log.</t>
        </is>
      </c>
    </row>
    <row r="6" ht="22" customHeight="1">
      <c r="A6" s="6" t="n"/>
      <c r="B6" s="7" t="n"/>
      <c r="C6" s="7" t="n"/>
      <c r="D6" s="7" t="n"/>
      <c r="E6" s="8" t="n"/>
      <c r="F6" s="7" t="n"/>
      <c r="G6" s="7" t="n"/>
      <c r="H6" s="8" t="n"/>
      <c r="I6" s="7" t="n"/>
      <c r="J6" s="8" t="n"/>
      <c r="K6" s="7" t="n"/>
      <c r="L6" s="8" t="n"/>
      <c r="M6" s="7" t="n"/>
      <c r="N6" s="8" t="n"/>
      <c r="O6" s="9" t="n"/>
      <c r="P6" s="9" t="n"/>
      <c r="Q6" s="7" t="n"/>
      <c r="R6" s="8" t="n"/>
    </row>
    <row r="7" ht="22" customHeight="1">
      <c r="A7" s="6" t="n"/>
      <c r="B7" s="7" t="n"/>
      <c r="C7" s="7" t="n"/>
      <c r="D7" s="7" t="n"/>
      <c r="E7" s="8" t="n"/>
      <c r="F7" s="7" t="n"/>
      <c r="G7" s="7" t="n"/>
      <c r="H7" s="8" t="n"/>
      <c r="I7" s="7" t="n"/>
      <c r="J7" s="8" t="n"/>
      <c r="K7" s="7" t="n"/>
      <c r="L7" s="8" t="n"/>
      <c r="M7" s="7" t="n"/>
      <c r="N7" s="8" t="n"/>
      <c r="O7" s="9" t="n"/>
      <c r="P7" s="9" t="n"/>
      <c r="Q7" s="7" t="n"/>
      <c r="R7" s="8" t="n"/>
    </row>
    <row r="8" ht="22" customHeight="1">
      <c r="A8" s="6" t="n"/>
      <c r="B8" s="7" t="n"/>
      <c r="C8" s="7" t="n"/>
      <c r="D8" s="7" t="n"/>
      <c r="E8" s="8" t="n"/>
      <c r="F8" s="7" t="n"/>
      <c r="G8" s="7" t="n"/>
      <c r="H8" s="8" t="n"/>
      <c r="I8" s="7" t="n"/>
      <c r="J8" s="8" t="n"/>
      <c r="K8" s="7" t="n"/>
      <c r="L8" s="8" t="n"/>
      <c r="M8" s="7" t="n"/>
      <c r="N8" s="8" t="n"/>
      <c r="O8" s="9" t="n"/>
      <c r="P8" s="9" t="n"/>
      <c r="Q8" s="7" t="n"/>
      <c r="R8" s="8" t="n"/>
    </row>
    <row r="9" ht="22" customHeight="1">
      <c r="A9" s="6" t="n"/>
      <c r="B9" s="7" t="n"/>
      <c r="C9" s="7" t="n"/>
      <c r="D9" s="7" t="n"/>
      <c r="E9" s="8" t="n"/>
      <c r="F9" s="7" t="n"/>
      <c r="G9" s="7" t="n"/>
      <c r="H9" s="8" t="n"/>
      <c r="I9" s="7" t="n"/>
      <c r="J9" s="8" t="n"/>
      <c r="K9" s="7" t="n"/>
      <c r="L9" s="8" t="n"/>
      <c r="M9" s="7" t="n"/>
      <c r="N9" s="8" t="n"/>
      <c r="O9" s="9" t="n"/>
      <c r="P9" s="9" t="n"/>
      <c r="Q9" s="7" t="n"/>
      <c r="R9" s="8" t="n"/>
    </row>
    <row r="10" ht="22" customHeight="1">
      <c r="A10" s="6" t="n"/>
      <c r="B10" s="7" t="n"/>
      <c r="C10" s="7" t="n"/>
      <c r="D10" s="7" t="n"/>
      <c r="E10" s="8" t="n"/>
      <c r="F10" s="7" t="n"/>
      <c r="G10" s="7" t="n"/>
      <c r="H10" s="8" t="n"/>
      <c r="I10" s="7" t="n"/>
      <c r="J10" s="8" t="n"/>
      <c r="K10" s="7" t="n"/>
      <c r="L10" s="8" t="n"/>
      <c r="M10" s="7" t="n"/>
      <c r="N10" s="8" t="n"/>
      <c r="O10" s="9" t="n"/>
      <c r="P10" s="9" t="n"/>
      <c r="Q10" s="7" t="n"/>
      <c r="R10" s="8" t="n"/>
    </row>
    <row r="11" ht="22" customHeight="1">
      <c r="A11" s="6" t="n"/>
      <c r="B11" s="7" t="n"/>
      <c r="C11" s="7" t="n"/>
      <c r="D11" s="7" t="n"/>
      <c r="E11" s="8" t="n"/>
      <c r="F11" s="7" t="n"/>
      <c r="G11" s="7" t="n"/>
      <c r="H11" s="8" t="n"/>
      <c r="I11" s="7" t="n"/>
      <c r="J11" s="8" t="n"/>
      <c r="K11" s="7" t="n"/>
      <c r="L11" s="8" t="n"/>
      <c r="M11" s="7" t="n"/>
      <c r="N11" s="8" t="n"/>
      <c r="O11" s="9" t="n"/>
      <c r="P11" s="9" t="n"/>
      <c r="Q11" s="7" t="n"/>
      <c r="R11" s="8" t="n"/>
    </row>
    <row r="12" ht="22" customHeight="1">
      <c r="A12" s="6" t="n"/>
      <c r="B12" s="7" t="n"/>
      <c r="C12" s="7" t="n"/>
      <c r="D12" s="7" t="n"/>
      <c r="E12" s="8" t="n"/>
      <c r="F12" s="7" t="n"/>
      <c r="G12" s="7" t="n"/>
      <c r="H12" s="8" t="n"/>
      <c r="I12" s="7" t="n"/>
      <c r="J12" s="8" t="n"/>
      <c r="K12" s="7" t="n"/>
      <c r="L12" s="8" t="n"/>
      <c r="M12" s="7" t="n"/>
      <c r="N12" s="8" t="n"/>
      <c r="O12" s="9" t="n"/>
      <c r="P12" s="9" t="n"/>
      <c r="Q12" s="7" t="n"/>
      <c r="R12" s="8" t="n"/>
    </row>
    <row r="13" ht="22" customHeight="1">
      <c r="A13" s="6" t="n"/>
      <c r="B13" s="7" t="n"/>
      <c r="C13" s="7" t="n"/>
      <c r="D13" s="7" t="n"/>
      <c r="E13" s="8" t="n"/>
      <c r="F13" s="7" t="n"/>
      <c r="G13" s="7" t="n"/>
      <c r="H13" s="8" t="n"/>
      <c r="I13" s="7" t="n"/>
      <c r="J13" s="8" t="n"/>
      <c r="K13" s="7" t="n"/>
      <c r="L13" s="8" t="n"/>
      <c r="M13" s="7" t="n"/>
      <c r="N13" s="8" t="n"/>
      <c r="O13" s="9" t="n"/>
      <c r="P13" s="9" t="n"/>
      <c r="Q13" s="7" t="n"/>
      <c r="R13" s="8" t="n"/>
    </row>
    <row r="14" ht="22" customHeight="1">
      <c r="A14" s="6" t="n"/>
      <c r="B14" s="7" t="n"/>
      <c r="C14" s="7" t="n"/>
      <c r="D14" s="7" t="n"/>
      <c r="E14" s="8" t="n"/>
      <c r="F14" s="7" t="n"/>
      <c r="G14" s="7" t="n"/>
      <c r="H14" s="8" t="n"/>
      <c r="I14" s="7" t="n"/>
      <c r="J14" s="8" t="n"/>
      <c r="K14" s="7" t="n"/>
      <c r="L14" s="8" t="n"/>
      <c r="M14" s="7" t="n"/>
      <c r="N14" s="8" t="n"/>
      <c r="O14" s="9" t="n"/>
      <c r="P14" s="9" t="n"/>
      <c r="Q14" s="7" t="n"/>
      <c r="R14" s="8" t="n"/>
    </row>
    <row r="15" ht="22" customHeight="1">
      <c r="A15" s="6" t="n"/>
      <c r="B15" s="7" t="n"/>
      <c r="C15" s="7" t="n"/>
      <c r="D15" s="7" t="n"/>
      <c r="E15" s="8" t="n"/>
      <c r="F15" s="7" t="n"/>
      <c r="G15" s="7" t="n"/>
      <c r="H15" s="8" t="n"/>
      <c r="I15" s="7" t="n"/>
      <c r="J15" s="8" t="n"/>
      <c r="K15" s="7" t="n"/>
      <c r="L15" s="8" t="n"/>
      <c r="M15" s="7" t="n"/>
      <c r="N15" s="8" t="n"/>
      <c r="O15" s="9" t="n"/>
      <c r="P15" s="9" t="n"/>
      <c r="Q15" s="7" t="n"/>
      <c r="R15" s="8" t="n"/>
    </row>
    <row r="16" ht="22" customHeight="1">
      <c r="A16" s="6" t="n"/>
      <c r="B16" s="7" t="n"/>
      <c r="C16" s="7" t="n"/>
      <c r="D16" s="7" t="n"/>
      <c r="E16" s="8" t="n"/>
      <c r="F16" s="7" t="n"/>
      <c r="G16" s="7" t="n"/>
      <c r="H16" s="8" t="n"/>
      <c r="I16" s="7" t="n"/>
      <c r="J16" s="8" t="n"/>
      <c r="K16" s="7" t="n"/>
      <c r="L16" s="8" t="n"/>
      <c r="M16" s="7" t="n"/>
      <c r="N16" s="8" t="n"/>
      <c r="O16" s="9" t="n"/>
      <c r="P16" s="9" t="n"/>
      <c r="Q16" s="7" t="n"/>
      <c r="R16" s="8" t="n"/>
    </row>
    <row r="17" ht="22" customHeight="1">
      <c r="A17" s="6" t="n"/>
      <c r="B17" s="7" t="n"/>
      <c r="C17" s="7" t="n"/>
      <c r="D17" s="7" t="n"/>
      <c r="E17" s="8" t="n"/>
      <c r="F17" s="7" t="n"/>
      <c r="G17" s="7" t="n"/>
      <c r="H17" s="8" t="n"/>
      <c r="I17" s="7" t="n"/>
      <c r="J17" s="8" t="n"/>
      <c r="K17" s="7" t="n"/>
      <c r="L17" s="8" t="n"/>
      <c r="M17" s="7" t="n"/>
      <c r="N17" s="8" t="n"/>
      <c r="O17" s="9" t="n"/>
      <c r="P17" s="9" t="n"/>
      <c r="Q17" s="7" t="n"/>
      <c r="R17" s="8" t="n"/>
    </row>
    <row r="18" ht="22" customHeight="1">
      <c r="A18" s="6" t="n"/>
      <c r="B18" s="7" t="n"/>
      <c r="C18" s="7" t="n"/>
      <c r="D18" s="7" t="n"/>
      <c r="E18" s="8" t="n"/>
      <c r="F18" s="7" t="n"/>
      <c r="G18" s="7" t="n"/>
      <c r="H18" s="8" t="n"/>
      <c r="I18" s="7" t="n"/>
      <c r="J18" s="8" t="n"/>
      <c r="K18" s="7" t="n"/>
      <c r="L18" s="8" t="n"/>
      <c r="M18" s="7" t="n"/>
      <c r="N18" s="8" t="n"/>
      <c r="O18" s="9" t="n"/>
      <c r="P18" s="9" t="n"/>
      <c r="Q18" s="7" t="n"/>
      <c r="R18" s="8" t="n"/>
    </row>
    <row r="19" ht="22" customHeight="1">
      <c r="A19" s="6" t="n"/>
      <c r="B19" s="7" t="n"/>
      <c r="C19" s="7" t="n"/>
      <c r="D19" s="7" t="n"/>
      <c r="E19" s="8" t="n"/>
      <c r="F19" s="7" t="n"/>
      <c r="G19" s="7" t="n"/>
      <c r="H19" s="8" t="n"/>
      <c r="I19" s="7" t="n"/>
      <c r="J19" s="8" t="n"/>
      <c r="K19" s="7" t="n"/>
      <c r="L19" s="8" t="n"/>
      <c r="M19" s="7" t="n"/>
      <c r="N19" s="8" t="n"/>
      <c r="O19" s="9" t="n"/>
      <c r="P19" s="9" t="n"/>
      <c r="Q19" s="7" t="n"/>
      <c r="R19" s="8" t="n"/>
    </row>
    <row r="20" ht="22" customHeight="1">
      <c r="A20" s="6" t="n"/>
      <c r="B20" s="7" t="n"/>
      <c r="C20" s="7" t="n"/>
      <c r="D20" s="7" t="n"/>
      <c r="E20" s="8" t="n"/>
      <c r="F20" s="7" t="n"/>
      <c r="G20" s="7" t="n"/>
      <c r="H20" s="8" t="n"/>
      <c r="I20" s="7" t="n"/>
      <c r="J20" s="8" t="n"/>
      <c r="K20" s="7" t="n"/>
      <c r="L20" s="8" t="n"/>
      <c r="M20" s="7" t="n"/>
      <c r="N20" s="8" t="n"/>
      <c r="O20" s="9" t="n"/>
      <c r="P20" s="9" t="n"/>
      <c r="Q20" s="7" t="n"/>
      <c r="R20" s="8" t="n"/>
    </row>
    <row r="21" ht="22" customHeight="1">
      <c r="A21" s="6" t="n"/>
      <c r="B21" s="7" t="n"/>
      <c r="C21" s="7" t="n"/>
      <c r="D21" s="7" t="n"/>
      <c r="E21" s="8" t="n"/>
      <c r="F21" s="7" t="n"/>
      <c r="G21" s="7" t="n"/>
      <c r="H21" s="8" t="n"/>
      <c r="I21" s="7" t="n"/>
      <c r="J21" s="8" t="n"/>
      <c r="K21" s="7" t="n"/>
      <c r="L21" s="8" t="n"/>
      <c r="M21" s="7" t="n"/>
      <c r="N21" s="8" t="n"/>
      <c r="O21" s="9" t="n"/>
      <c r="P21" s="9" t="n"/>
      <c r="Q21" s="7" t="n"/>
      <c r="R21" s="8" t="n"/>
    </row>
    <row r="22" ht="22" customHeight="1">
      <c r="A22" s="6" t="n"/>
      <c r="B22" s="7" t="n"/>
      <c r="C22" s="7" t="n"/>
      <c r="D22" s="7" t="n"/>
      <c r="E22" s="8" t="n"/>
      <c r="F22" s="7" t="n"/>
      <c r="G22" s="7" t="n"/>
      <c r="H22" s="8" t="n"/>
      <c r="I22" s="7" t="n"/>
      <c r="J22" s="8" t="n"/>
      <c r="K22" s="7" t="n"/>
      <c r="L22" s="8" t="n"/>
      <c r="M22" s="7" t="n"/>
      <c r="N22" s="8" t="n"/>
      <c r="O22" s="9" t="n"/>
      <c r="P22" s="9" t="n"/>
      <c r="Q22" s="7" t="n"/>
      <c r="R22" s="8" t="n"/>
    </row>
    <row r="23" ht="22" customHeight="1">
      <c r="A23" s="6" t="n"/>
      <c r="B23" s="7" t="n"/>
      <c r="C23" s="7" t="n"/>
      <c r="D23" s="7" t="n"/>
      <c r="E23" s="8" t="n"/>
      <c r="F23" s="7" t="n"/>
      <c r="G23" s="7" t="n"/>
      <c r="H23" s="8" t="n"/>
      <c r="I23" s="7" t="n"/>
      <c r="J23" s="8" t="n"/>
      <c r="K23" s="7" t="n"/>
      <c r="L23" s="8" t="n"/>
      <c r="M23" s="7" t="n"/>
      <c r="N23" s="8" t="n"/>
      <c r="O23" s="9" t="n"/>
      <c r="P23" s="9" t="n"/>
      <c r="Q23" s="7" t="n"/>
      <c r="R23" s="8" t="n"/>
    </row>
    <row r="24" ht="22" customHeight="1">
      <c r="A24" s="6" t="n"/>
      <c r="B24" s="7" t="n"/>
      <c r="C24" s="7" t="n"/>
      <c r="D24" s="7" t="n"/>
      <c r="E24" s="8" t="n"/>
      <c r="F24" s="7" t="n"/>
      <c r="G24" s="7" t="n"/>
      <c r="H24" s="8" t="n"/>
      <c r="I24" s="7" t="n"/>
      <c r="J24" s="8" t="n"/>
      <c r="K24" s="7" t="n"/>
      <c r="L24" s="8" t="n"/>
      <c r="M24" s="7" t="n"/>
      <c r="N24" s="8" t="n"/>
      <c r="O24" s="9" t="n"/>
      <c r="P24" s="9" t="n"/>
      <c r="Q24" s="7" t="n"/>
      <c r="R24" s="8" t="n"/>
    </row>
    <row r="25" ht="22" customHeight="1">
      <c r="A25" s="6" t="n"/>
      <c r="B25" s="7" t="n"/>
      <c r="C25" s="7" t="n"/>
      <c r="D25" s="7" t="n"/>
      <c r="E25" s="8" t="n"/>
      <c r="F25" s="7" t="n"/>
      <c r="G25" s="7" t="n"/>
      <c r="H25" s="8" t="n"/>
      <c r="I25" s="7" t="n"/>
      <c r="J25" s="8" t="n"/>
      <c r="K25" s="7" t="n"/>
      <c r="L25" s="8" t="n"/>
      <c r="M25" s="7" t="n"/>
      <c r="N25" s="8" t="n"/>
      <c r="O25" s="9" t="n"/>
      <c r="P25" s="9" t="n"/>
      <c r="Q25" s="7" t="n"/>
      <c r="R25" s="8" t="n"/>
    </row>
    <row r="26" ht="22" customHeight="1">
      <c r="A26" s="6" t="n"/>
      <c r="B26" s="7" t="n"/>
      <c r="C26" s="7" t="n"/>
      <c r="D26" s="7" t="n"/>
      <c r="E26" s="8" t="n"/>
      <c r="F26" s="7" t="n"/>
      <c r="G26" s="7" t="n"/>
      <c r="H26" s="8" t="n"/>
      <c r="I26" s="7" t="n"/>
      <c r="J26" s="8" t="n"/>
      <c r="K26" s="7" t="n"/>
      <c r="L26" s="8" t="n"/>
      <c r="M26" s="7" t="n"/>
      <c r="N26" s="8" t="n"/>
      <c r="O26" s="9" t="n"/>
      <c r="P26" s="9" t="n"/>
      <c r="Q26" s="7" t="n"/>
      <c r="R26" s="8" t="n"/>
    </row>
    <row r="27" ht="22" customHeight="1">
      <c r="A27" s="6" t="n"/>
      <c r="B27" s="7" t="n"/>
      <c r="C27" s="7" t="n"/>
      <c r="D27" s="7" t="n"/>
      <c r="E27" s="8" t="n"/>
      <c r="F27" s="7" t="n"/>
      <c r="G27" s="7" t="n"/>
      <c r="H27" s="8" t="n"/>
      <c r="I27" s="7" t="n"/>
      <c r="J27" s="8" t="n"/>
      <c r="K27" s="7" t="n"/>
      <c r="L27" s="8" t="n"/>
      <c r="M27" s="7" t="n"/>
      <c r="N27" s="8" t="n"/>
      <c r="O27" s="9" t="n"/>
      <c r="P27" s="9" t="n"/>
      <c r="Q27" s="7" t="n"/>
      <c r="R27" s="8" t="n"/>
    </row>
    <row r="28" ht="22" customHeight="1">
      <c r="A28" s="6" t="n"/>
      <c r="B28" s="7" t="n"/>
      <c r="C28" s="7" t="n"/>
      <c r="D28" s="7" t="n"/>
      <c r="E28" s="8" t="n"/>
      <c r="F28" s="7" t="n"/>
      <c r="G28" s="7" t="n"/>
      <c r="H28" s="8" t="n"/>
      <c r="I28" s="7" t="n"/>
      <c r="J28" s="8" t="n"/>
      <c r="K28" s="7" t="n"/>
      <c r="L28" s="8" t="n"/>
      <c r="M28" s="7" t="n"/>
      <c r="N28" s="8" t="n"/>
      <c r="O28" s="9" t="n"/>
      <c r="P28" s="9" t="n"/>
      <c r="Q28" s="7" t="n"/>
      <c r="R28" s="8" t="n"/>
    </row>
    <row r="29" ht="22" customHeight="1">
      <c r="A29" s="6" t="n"/>
      <c r="B29" s="7" t="n"/>
      <c r="C29" s="7" t="n"/>
      <c r="D29" s="7" t="n"/>
      <c r="E29" s="8" t="n"/>
      <c r="F29" s="7" t="n"/>
      <c r="G29" s="7" t="n"/>
      <c r="H29" s="8" t="n"/>
      <c r="I29" s="7" t="n"/>
      <c r="J29" s="8" t="n"/>
      <c r="K29" s="7" t="n"/>
      <c r="L29" s="8" t="n"/>
      <c r="M29" s="7" t="n"/>
      <c r="N29" s="8" t="n"/>
      <c r="O29" s="9" t="n"/>
      <c r="P29" s="9" t="n"/>
      <c r="Q29" s="7" t="n"/>
      <c r="R29" s="8" t="n"/>
    </row>
    <row r="30" ht="22" customHeight="1">
      <c r="A30" s="6" t="n"/>
      <c r="B30" s="7" t="n"/>
      <c r="C30" s="7" t="n"/>
      <c r="D30" s="7" t="n"/>
      <c r="E30" s="8" t="n"/>
      <c r="F30" s="7" t="n"/>
      <c r="G30" s="7" t="n"/>
      <c r="H30" s="8" t="n"/>
      <c r="I30" s="7" t="n"/>
      <c r="J30" s="8" t="n"/>
      <c r="K30" s="7" t="n"/>
      <c r="L30" s="8" t="n"/>
      <c r="M30" s="7" t="n"/>
      <c r="N30" s="8" t="n"/>
      <c r="O30" s="9" t="n"/>
      <c r="P30" s="9" t="n"/>
      <c r="Q30" s="7" t="n"/>
      <c r="R30" s="8" t="n"/>
    </row>
    <row r="31" ht="22" customHeight="1">
      <c r="A31" s="6" t="n"/>
      <c r="B31" s="7" t="n"/>
      <c r="C31" s="7" t="n"/>
      <c r="D31" s="7" t="n"/>
      <c r="E31" s="8" t="n"/>
      <c r="F31" s="7" t="n"/>
      <c r="G31" s="7" t="n"/>
      <c r="H31" s="8" t="n"/>
      <c r="I31" s="7" t="n"/>
      <c r="J31" s="8" t="n"/>
      <c r="K31" s="7" t="n"/>
      <c r="L31" s="8" t="n"/>
      <c r="M31" s="7" t="n"/>
      <c r="N31" s="8" t="n"/>
      <c r="O31" s="9" t="n"/>
      <c r="P31" s="9" t="n"/>
      <c r="Q31" s="7" t="n"/>
      <c r="R31" s="8" t="n"/>
    </row>
    <row r="32" ht="22" customHeight="1">
      <c r="A32" s="6" t="n"/>
      <c r="B32" s="7" t="n"/>
      <c r="C32" s="7" t="n"/>
      <c r="D32" s="7" t="n"/>
      <c r="E32" s="8" t="n"/>
      <c r="F32" s="7" t="n"/>
      <c r="G32" s="7" t="n"/>
      <c r="H32" s="8" t="n"/>
      <c r="I32" s="7" t="n"/>
      <c r="J32" s="8" t="n"/>
      <c r="K32" s="7" t="n"/>
      <c r="L32" s="8" t="n"/>
      <c r="M32" s="7" t="n"/>
      <c r="N32" s="8" t="n"/>
      <c r="O32" s="9" t="n"/>
      <c r="P32" s="9" t="n"/>
      <c r="Q32" s="7" t="n"/>
      <c r="R32" s="8" t="n"/>
    </row>
    <row r="33" ht="22" customHeight="1">
      <c r="A33" s="6" t="n"/>
      <c r="B33" s="7" t="n"/>
      <c r="C33" s="7" t="n"/>
      <c r="D33" s="7" t="n"/>
      <c r="E33" s="8" t="n"/>
      <c r="F33" s="7" t="n"/>
      <c r="G33" s="7" t="n"/>
      <c r="H33" s="8" t="n"/>
      <c r="I33" s="7" t="n"/>
      <c r="J33" s="8" t="n"/>
      <c r="K33" s="7" t="n"/>
      <c r="L33" s="8" t="n"/>
      <c r="M33" s="7" t="n"/>
      <c r="N33" s="8" t="n"/>
      <c r="O33" s="9" t="n"/>
      <c r="P33" s="9" t="n"/>
      <c r="Q33" s="7" t="n"/>
      <c r="R33" s="8" t="n"/>
    </row>
    <row r="34" ht="22" customHeight="1">
      <c r="A34" s="6" t="n"/>
      <c r="B34" s="7" t="n"/>
      <c r="C34" s="7" t="n"/>
      <c r="D34" s="7" t="n"/>
      <c r="E34" s="8" t="n"/>
      <c r="F34" s="7" t="n"/>
      <c r="G34" s="7" t="n"/>
      <c r="H34" s="8" t="n"/>
      <c r="I34" s="7" t="n"/>
      <c r="J34" s="8" t="n"/>
      <c r="K34" s="7" t="n"/>
      <c r="L34" s="8" t="n"/>
      <c r="M34" s="7" t="n"/>
      <c r="N34" s="8" t="n"/>
      <c r="O34" s="9" t="n"/>
      <c r="P34" s="9" t="n"/>
      <c r="Q34" s="7" t="n"/>
      <c r="R34" s="8" t="n"/>
    </row>
    <row r="35" ht="22" customHeight="1">
      <c r="A35" s="6" t="n"/>
      <c r="B35" s="7" t="n"/>
      <c r="C35" s="7" t="n"/>
      <c r="D35" s="7" t="n"/>
      <c r="E35" s="8" t="n"/>
      <c r="F35" s="7" t="n"/>
      <c r="G35" s="7" t="n"/>
      <c r="H35" s="8" t="n"/>
      <c r="I35" s="7" t="n"/>
      <c r="J35" s="8" t="n"/>
      <c r="K35" s="7" t="n"/>
      <c r="L35" s="8" t="n"/>
      <c r="M35" s="7" t="n"/>
      <c r="N35" s="8" t="n"/>
      <c r="O35" s="9" t="n"/>
      <c r="P35" s="9" t="n"/>
      <c r="Q35" s="7" t="n"/>
      <c r="R35" s="8" t="n"/>
    </row>
    <row r="36" ht="22" customHeight="1">
      <c r="A36" s="6" t="n"/>
      <c r="B36" s="7" t="n"/>
      <c r="C36" s="7" t="n"/>
      <c r="D36" s="7" t="n"/>
      <c r="E36" s="8" t="n"/>
      <c r="F36" s="7" t="n"/>
      <c r="G36" s="7" t="n"/>
      <c r="H36" s="8" t="n"/>
      <c r="I36" s="7" t="n"/>
      <c r="J36" s="8" t="n"/>
      <c r="K36" s="7" t="n"/>
      <c r="L36" s="8" t="n"/>
      <c r="M36" s="7" t="n"/>
      <c r="N36" s="8" t="n"/>
      <c r="O36" s="9" t="n"/>
      <c r="P36" s="9" t="n"/>
      <c r="Q36" s="7" t="n"/>
      <c r="R36" s="8" t="n"/>
    </row>
    <row r="37" ht="22" customHeight="1">
      <c r="A37" s="6" t="n"/>
      <c r="B37" s="7" t="n"/>
      <c r="C37" s="7" t="n"/>
      <c r="D37" s="7" t="n"/>
      <c r="E37" s="8" t="n"/>
      <c r="F37" s="7" t="n"/>
      <c r="G37" s="7" t="n"/>
      <c r="H37" s="8" t="n"/>
      <c r="I37" s="7" t="n"/>
      <c r="J37" s="8" t="n"/>
      <c r="K37" s="7" t="n"/>
      <c r="L37" s="8" t="n"/>
      <c r="M37" s="7" t="n"/>
      <c r="N37" s="8" t="n"/>
      <c r="O37" s="9" t="n"/>
      <c r="P37" s="9" t="n"/>
      <c r="Q37" s="7" t="n"/>
      <c r="R37" s="8" t="n"/>
    </row>
    <row r="38" ht="22" customHeight="1">
      <c r="A38" s="6" t="n"/>
      <c r="B38" s="7" t="n"/>
      <c r="C38" s="7" t="n"/>
      <c r="D38" s="7" t="n"/>
      <c r="E38" s="8" t="n"/>
      <c r="F38" s="7" t="n"/>
      <c r="G38" s="7" t="n"/>
      <c r="H38" s="8" t="n"/>
      <c r="I38" s="7" t="n"/>
      <c r="J38" s="8" t="n"/>
      <c r="K38" s="7" t="n"/>
      <c r="L38" s="8" t="n"/>
      <c r="M38" s="7" t="n"/>
      <c r="N38" s="8" t="n"/>
      <c r="O38" s="9" t="n"/>
      <c r="P38" s="9" t="n"/>
      <c r="Q38" s="7" t="n"/>
      <c r="R38" s="8" t="n"/>
    </row>
    <row r="39" ht="22" customHeight="1">
      <c r="A39" s="6" t="n"/>
      <c r="B39" s="7" t="n"/>
      <c r="C39" s="7" t="n"/>
      <c r="D39" s="7" t="n"/>
      <c r="E39" s="8" t="n"/>
      <c r="F39" s="7" t="n"/>
      <c r="G39" s="7" t="n"/>
      <c r="H39" s="8" t="n"/>
      <c r="I39" s="7" t="n"/>
      <c r="J39" s="8" t="n"/>
      <c r="K39" s="7" t="n"/>
      <c r="L39" s="8" t="n"/>
      <c r="M39" s="7" t="n"/>
      <c r="N39" s="8" t="n"/>
      <c r="O39" s="9" t="n"/>
      <c r="P39" s="9" t="n"/>
      <c r="Q39" s="7" t="n"/>
      <c r="R39" s="8" t="n"/>
    </row>
    <row r="40" ht="22" customHeight="1">
      <c r="A40" s="6" t="n"/>
      <c r="B40" s="7" t="n"/>
      <c r="C40" s="7" t="n"/>
      <c r="D40" s="7" t="n"/>
      <c r="E40" s="8" t="n"/>
      <c r="F40" s="7" t="n"/>
      <c r="G40" s="7" t="n"/>
      <c r="H40" s="8" t="n"/>
      <c r="I40" s="7" t="n"/>
      <c r="J40" s="8" t="n"/>
      <c r="K40" s="7" t="n"/>
      <c r="L40" s="8" t="n"/>
      <c r="M40" s="7" t="n"/>
      <c r="N40" s="8" t="n"/>
      <c r="O40" s="9" t="n"/>
      <c r="P40" s="9" t="n"/>
      <c r="Q40" s="7" t="n"/>
      <c r="R40" s="8" t="n"/>
    </row>
    <row r="41" ht="22" customHeight="1">
      <c r="A41" s="6" t="n"/>
      <c r="B41" s="7" t="n"/>
      <c r="C41" s="7" t="n"/>
      <c r="D41" s="7" t="n"/>
      <c r="E41" s="8" t="n"/>
      <c r="F41" s="7" t="n"/>
      <c r="G41" s="7" t="n"/>
      <c r="H41" s="8" t="n"/>
      <c r="I41" s="7" t="n"/>
      <c r="J41" s="8" t="n"/>
      <c r="K41" s="7" t="n"/>
      <c r="L41" s="8" t="n"/>
      <c r="M41" s="7" t="n"/>
      <c r="N41" s="8" t="n"/>
      <c r="O41" s="9" t="n"/>
      <c r="P41" s="9" t="n"/>
      <c r="Q41" s="7" t="n"/>
      <c r="R41" s="8" t="n"/>
    </row>
    <row r="42" ht="22" customHeight="1">
      <c r="A42" s="6" t="n"/>
      <c r="B42" s="7" t="n"/>
      <c r="C42" s="7" t="n"/>
      <c r="D42" s="7" t="n"/>
      <c r="E42" s="8" t="n"/>
      <c r="F42" s="7" t="n"/>
      <c r="G42" s="7" t="n"/>
      <c r="H42" s="8" t="n"/>
      <c r="I42" s="7" t="n"/>
      <c r="J42" s="8" t="n"/>
      <c r="K42" s="7" t="n"/>
      <c r="L42" s="8" t="n"/>
      <c r="M42" s="7" t="n"/>
      <c r="N42" s="8" t="n"/>
      <c r="O42" s="9" t="n"/>
      <c r="P42" s="9" t="n"/>
      <c r="Q42" s="7" t="n"/>
      <c r="R42" s="8" t="n"/>
    </row>
    <row r="43" ht="22" customHeight="1">
      <c r="A43" s="6" t="n"/>
      <c r="B43" s="7" t="n"/>
      <c r="C43" s="7" t="n"/>
      <c r="D43" s="7" t="n"/>
      <c r="E43" s="8" t="n"/>
      <c r="F43" s="7" t="n"/>
      <c r="G43" s="7" t="n"/>
      <c r="H43" s="8" t="n"/>
      <c r="I43" s="7" t="n"/>
      <c r="J43" s="8" t="n"/>
      <c r="K43" s="7" t="n"/>
      <c r="L43" s="8" t="n"/>
      <c r="M43" s="7" t="n"/>
      <c r="N43" s="8" t="n"/>
      <c r="O43" s="9" t="n"/>
      <c r="P43" s="9" t="n"/>
      <c r="Q43" s="7" t="n"/>
      <c r="R43" s="8" t="n"/>
    </row>
    <row r="44" ht="22" customHeight="1">
      <c r="A44" s="6" t="n"/>
      <c r="B44" s="7" t="n"/>
      <c r="C44" s="7" t="n"/>
      <c r="D44" s="7" t="n"/>
      <c r="E44" s="8" t="n"/>
      <c r="F44" s="7" t="n"/>
      <c r="G44" s="7" t="n"/>
      <c r="H44" s="8" t="n"/>
      <c r="I44" s="7" t="n"/>
      <c r="J44" s="8" t="n"/>
      <c r="K44" s="7" t="n"/>
      <c r="L44" s="8" t="n"/>
      <c r="M44" s="7" t="n"/>
      <c r="N44" s="8" t="n"/>
      <c r="O44" s="9" t="n"/>
      <c r="P44" s="9" t="n"/>
      <c r="Q44" s="7" t="n"/>
      <c r="R44" s="8" t="n"/>
    </row>
    <row r="45" ht="22" customHeight="1">
      <c r="A45" s="6" t="n"/>
      <c r="B45" s="7" t="n"/>
      <c r="C45" s="7" t="n"/>
      <c r="D45" s="7" t="n"/>
      <c r="E45" s="8" t="n"/>
      <c r="F45" s="7" t="n"/>
      <c r="G45" s="7" t="n"/>
      <c r="H45" s="8" t="n"/>
      <c r="I45" s="7" t="n"/>
      <c r="J45" s="8" t="n"/>
      <c r="K45" s="7" t="n"/>
      <c r="L45" s="8" t="n"/>
      <c r="M45" s="7" t="n"/>
      <c r="N45" s="8" t="n"/>
      <c r="O45" s="9" t="n"/>
      <c r="P45" s="9" t="n"/>
      <c r="Q45" s="7" t="n"/>
      <c r="R45" s="8" t="n"/>
    </row>
    <row r="46" ht="22" customHeight="1">
      <c r="A46" s="6" t="n"/>
      <c r="B46" s="7" t="n"/>
      <c r="C46" s="7" t="n"/>
      <c r="D46" s="7" t="n"/>
      <c r="E46" s="8" t="n"/>
      <c r="F46" s="7" t="n"/>
      <c r="G46" s="7" t="n"/>
      <c r="H46" s="8" t="n"/>
      <c r="I46" s="7" t="n"/>
      <c r="J46" s="8" t="n"/>
      <c r="K46" s="7" t="n"/>
      <c r="L46" s="8" t="n"/>
      <c r="M46" s="7" t="n"/>
      <c r="N46" s="8" t="n"/>
      <c r="O46" s="9" t="n"/>
      <c r="P46" s="9" t="n"/>
      <c r="Q46" s="7" t="n"/>
      <c r="R46" s="8" t="n"/>
    </row>
    <row r="47" ht="22" customHeight="1">
      <c r="A47" s="6" t="n"/>
      <c r="B47" s="7" t="n"/>
      <c r="C47" s="7" t="n"/>
      <c r="D47" s="7" t="n"/>
      <c r="E47" s="8" t="n"/>
      <c r="F47" s="7" t="n"/>
      <c r="G47" s="7" t="n"/>
      <c r="H47" s="8" t="n"/>
      <c r="I47" s="7" t="n"/>
      <c r="J47" s="8" t="n"/>
      <c r="K47" s="7" t="n"/>
      <c r="L47" s="8" t="n"/>
      <c r="M47" s="7" t="n"/>
      <c r="N47" s="8" t="n"/>
      <c r="O47" s="9" t="n"/>
      <c r="P47" s="9" t="n"/>
      <c r="Q47" s="7" t="n"/>
      <c r="R47" s="8" t="n"/>
    </row>
    <row r="48" ht="22" customHeight="1">
      <c r="A48" s="6" t="n"/>
      <c r="B48" s="7" t="n"/>
      <c r="C48" s="7" t="n"/>
      <c r="D48" s="7" t="n"/>
      <c r="E48" s="8" t="n"/>
      <c r="F48" s="7" t="n"/>
      <c r="G48" s="7" t="n"/>
      <c r="H48" s="8" t="n"/>
      <c r="I48" s="7" t="n"/>
      <c r="J48" s="8" t="n"/>
      <c r="K48" s="7" t="n"/>
      <c r="L48" s="8" t="n"/>
      <c r="M48" s="7" t="n"/>
      <c r="N48" s="8" t="n"/>
      <c r="O48" s="9" t="n"/>
      <c r="P48" s="9" t="n"/>
      <c r="Q48" s="7" t="n"/>
      <c r="R48" s="8" t="n"/>
    </row>
    <row r="49" ht="22" customHeight="1">
      <c r="A49" s="6" t="n"/>
      <c r="B49" s="7" t="n"/>
      <c r="C49" s="7" t="n"/>
      <c r="D49" s="7" t="n"/>
      <c r="E49" s="8" t="n"/>
      <c r="F49" s="7" t="n"/>
      <c r="G49" s="7" t="n"/>
      <c r="H49" s="8" t="n"/>
      <c r="I49" s="7" t="n"/>
      <c r="J49" s="8" t="n"/>
      <c r="K49" s="7" t="n"/>
      <c r="L49" s="8" t="n"/>
      <c r="M49" s="7" t="n"/>
      <c r="N49" s="8" t="n"/>
      <c r="O49" s="9" t="n"/>
      <c r="P49" s="9" t="n"/>
      <c r="Q49" s="7" t="n"/>
      <c r="R49" s="8" t="n"/>
    </row>
    <row r="50" ht="22" customHeight="1">
      <c r="A50" s="6" t="n"/>
      <c r="B50" s="7" t="n"/>
      <c r="C50" s="7" t="n"/>
      <c r="D50" s="7" t="n"/>
      <c r="E50" s="8" t="n"/>
      <c r="F50" s="7" t="n"/>
      <c r="G50" s="7" t="n"/>
      <c r="H50" s="8" t="n"/>
      <c r="I50" s="7" t="n"/>
      <c r="J50" s="8" t="n"/>
      <c r="K50" s="7" t="n"/>
      <c r="L50" s="8" t="n"/>
      <c r="M50" s="7" t="n"/>
      <c r="N50" s="8" t="n"/>
      <c r="O50" s="9" t="n"/>
      <c r="P50" s="9" t="n"/>
      <c r="Q50" s="7" t="n"/>
      <c r="R50" s="8" t="n"/>
    </row>
    <row r="51" ht="22" customHeight="1">
      <c r="A51" s="6" t="n"/>
      <c r="B51" s="7" t="n"/>
      <c r="C51" s="7" t="n"/>
      <c r="D51" s="7" t="n"/>
      <c r="E51" s="8" t="n"/>
      <c r="F51" s="7" t="n"/>
      <c r="G51" s="7" t="n"/>
      <c r="H51" s="8" t="n"/>
      <c r="I51" s="7" t="n"/>
      <c r="J51" s="8" t="n"/>
      <c r="K51" s="7" t="n"/>
      <c r="L51" s="8" t="n"/>
      <c r="M51" s="7" t="n"/>
      <c r="N51" s="8" t="n"/>
      <c r="O51" s="9" t="n"/>
      <c r="P51" s="9" t="n"/>
      <c r="Q51" s="7" t="n"/>
      <c r="R51" s="8" t="n"/>
    </row>
    <row r="52" ht="22" customHeight="1">
      <c r="A52" s="6" t="n"/>
      <c r="B52" s="7" t="n"/>
      <c r="C52" s="7" t="n"/>
      <c r="D52" s="7" t="n"/>
      <c r="E52" s="8" t="n"/>
      <c r="F52" s="7" t="n"/>
      <c r="G52" s="7" t="n"/>
      <c r="H52" s="8" t="n"/>
      <c r="I52" s="7" t="n"/>
      <c r="J52" s="8" t="n"/>
      <c r="K52" s="7" t="n"/>
      <c r="L52" s="8" t="n"/>
      <c r="M52" s="7" t="n"/>
      <c r="N52" s="8" t="n"/>
      <c r="O52" s="9" t="n"/>
      <c r="P52" s="9" t="n"/>
      <c r="Q52" s="7" t="n"/>
      <c r="R52" s="8" t="n"/>
    </row>
    <row r="53" ht="22" customHeight="1">
      <c r="A53" s="6" t="n"/>
      <c r="B53" s="7" t="n"/>
      <c r="C53" s="7" t="n"/>
      <c r="D53" s="7" t="n"/>
      <c r="E53" s="8" t="n"/>
      <c r="F53" s="7" t="n"/>
      <c r="G53" s="7" t="n"/>
      <c r="H53" s="8" t="n"/>
      <c r="I53" s="7" t="n"/>
      <c r="J53" s="8" t="n"/>
      <c r="K53" s="7" t="n"/>
      <c r="L53" s="8" t="n"/>
      <c r="M53" s="7" t="n"/>
      <c r="N53" s="8" t="n"/>
      <c r="O53" s="9" t="n"/>
      <c r="P53" s="9" t="n"/>
      <c r="Q53" s="7" t="n"/>
      <c r="R53" s="8" t="n"/>
    </row>
    <row r="54" ht="22" customHeight="1">
      <c r="A54" s="6" t="n"/>
      <c r="B54" s="7" t="n"/>
      <c r="C54" s="7" t="n"/>
      <c r="D54" s="7" t="n"/>
      <c r="E54" s="8" t="n"/>
      <c r="F54" s="7" t="n"/>
      <c r="G54" s="7" t="n"/>
      <c r="H54" s="8" t="n"/>
      <c r="I54" s="7" t="n"/>
      <c r="J54" s="8" t="n"/>
      <c r="K54" s="7" t="n"/>
      <c r="L54" s="8" t="n"/>
      <c r="M54" s="7" t="n"/>
      <c r="N54" s="8" t="n"/>
      <c r="O54" s="9" t="n"/>
      <c r="P54" s="9" t="n"/>
      <c r="Q54" s="7" t="n"/>
      <c r="R54" s="8" t="n"/>
    </row>
    <row r="55" ht="22" customHeight="1">
      <c r="A55" s="6" t="n"/>
      <c r="B55" s="7" t="n"/>
      <c r="C55" s="7" t="n"/>
      <c r="D55" s="7" t="n"/>
      <c r="E55" s="8" t="n"/>
      <c r="F55" s="7" t="n"/>
      <c r="G55" s="7" t="n"/>
      <c r="H55" s="8" t="n"/>
      <c r="I55" s="7" t="n"/>
      <c r="J55" s="8" t="n"/>
      <c r="K55" s="7" t="n"/>
      <c r="L55" s="8" t="n"/>
      <c r="M55" s="7" t="n"/>
      <c r="N55" s="8" t="n"/>
      <c r="O55" s="9" t="n"/>
      <c r="P55" s="9" t="n"/>
      <c r="Q55" s="7" t="n"/>
      <c r="R55" s="8" t="n"/>
    </row>
    <row r="56" ht="22" customHeight="1">
      <c r="A56" s="6" t="n"/>
      <c r="B56" s="7" t="n"/>
      <c r="C56" s="7" t="n"/>
      <c r="D56" s="7" t="n"/>
      <c r="E56" s="8" t="n"/>
      <c r="F56" s="7" t="n"/>
      <c r="G56" s="7" t="n"/>
      <c r="H56" s="8" t="n"/>
      <c r="I56" s="7" t="n"/>
      <c r="J56" s="8" t="n"/>
      <c r="K56" s="7" t="n"/>
      <c r="L56" s="8" t="n"/>
      <c r="M56" s="7" t="n"/>
      <c r="N56" s="8" t="n"/>
      <c r="O56" s="9" t="n"/>
      <c r="P56" s="9" t="n"/>
      <c r="Q56" s="7" t="n"/>
      <c r="R56" s="8" t="n"/>
    </row>
    <row r="57" ht="22" customHeight="1">
      <c r="A57" s="6" t="n"/>
      <c r="B57" s="7" t="n"/>
      <c r="C57" s="7" t="n"/>
      <c r="D57" s="7" t="n"/>
      <c r="E57" s="8" t="n"/>
      <c r="F57" s="7" t="n"/>
      <c r="G57" s="7" t="n"/>
      <c r="H57" s="8" t="n"/>
      <c r="I57" s="7" t="n"/>
      <c r="J57" s="8" t="n"/>
      <c r="K57" s="7" t="n"/>
      <c r="L57" s="8" t="n"/>
      <c r="M57" s="7" t="n"/>
      <c r="N57" s="8" t="n"/>
      <c r="O57" s="9" t="n"/>
      <c r="P57" s="9" t="n"/>
      <c r="Q57" s="7" t="n"/>
      <c r="R57" s="8" t="n"/>
    </row>
    <row r="58" ht="22" customHeight="1">
      <c r="A58" s="6" t="n"/>
      <c r="B58" s="7" t="n"/>
      <c r="C58" s="7" t="n"/>
      <c r="D58" s="7" t="n"/>
      <c r="E58" s="8" t="n"/>
      <c r="F58" s="7" t="n"/>
      <c r="G58" s="7" t="n"/>
      <c r="H58" s="8" t="n"/>
      <c r="I58" s="7" t="n"/>
      <c r="J58" s="8" t="n"/>
      <c r="K58" s="7" t="n"/>
      <c r="L58" s="8" t="n"/>
      <c r="M58" s="7" t="n"/>
      <c r="N58" s="8" t="n"/>
      <c r="O58" s="9" t="n"/>
      <c r="P58" s="9" t="n"/>
      <c r="Q58" s="7" t="n"/>
      <c r="R58" s="8" t="n"/>
    </row>
    <row r="59" ht="22" customHeight="1">
      <c r="A59" s="6" t="n"/>
      <c r="B59" s="7" t="n"/>
      <c r="C59" s="7" t="n"/>
      <c r="D59" s="7" t="n"/>
      <c r="E59" s="8" t="n"/>
      <c r="F59" s="7" t="n"/>
      <c r="G59" s="7" t="n"/>
      <c r="H59" s="8" t="n"/>
      <c r="I59" s="7" t="n"/>
      <c r="J59" s="8" t="n"/>
      <c r="K59" s="7" t="n"/>
      <c r="L59" s="8" t="n"/>
      <c r="M59" s="7" t="n"/>
      <c r="N59" s="8" t="n"/>
      <c r="O59" s="9" t="n"/>
      <c r="P59" s="9" t="n"/>
      <c r="Q59" s="7" t="n"/>
      <c r="R59" s="8" t="n"/>
    </row>
    <row r="60" ht="22" customHeight="1">
      <c r="A60" s="6" t="n"/>
      <c r="B60" s="7" t="n"/>
      <c r="C60" s="7" t="n"/>
      <c r="D60" s="7" t="n"/>
      <c r="E60" s="8" t="n"/>
      <c r="F60" s="7" t="n"/>
      <c r="G60" s="7" t="n"/>
      <c r="H60" s="8" t="n"/>
      <c r="I60" s="7" t="n"/>
      <c r="J60" s="8" t="n"/>
      <c r="K60" s="7" t="n"/>
      <c r="L60" s="8" t="n"/>
      <c r="M60" s="7" t="n"/>
      <c r="N60" s="8" t="n"/>
      <c r="O60" s="9" t="n"/>
      <c r="P60" s="9" t="n"/>
      <c r="Q60" s="7" t="n"/>
      <c r="R60" s="8" t="n"/>
    </row>
    <row r="61" ht="22" customHeight="1">
      <c r="A61" s="6" t="n"/>
      <c r="B61" s="7" t="n"/>
      <c r="C61" s="7" t="n"/>
      <c r="D61" s="7" t="n"/>
      <c r="E61" s="8" t="n"/>
      <c r="F61" s="7" t="n"/>
      <c r="G61" s="7" t="n"/>
      <c r="H61" s="8" t="n"/>
      <c r="I61" s="7" t="n"/>
      <c r="J61" s="8" t="n"/>
      <c r="K61" s="7" t="n"/>
      <c r="L61" s="8" t="n"/>
      <c r="M61" s="7" t="n"/>
      <c r="N61" s="8" t="n"/>
      <c r="O61" s="9" t="n"/>
      <c r="P61" s="9" t="n"/>
      <c r="Q61" s="7" t="n"/>
      <c r="R61" s="8" t="n"/>
    </row>
    <row r="62" ht="22" customHeight="1">
      <c r="A62" s="6" t="n"/>
      <c r="B62" s="7" t="n"/>
      <c r="C62" s="7" t="n"/>
      <c r="D62" s="7" t="n"/>
      <c r="E62" s="8" t="n"/>
      <c r="F62" s="7" t="n"/>
      <c r="G62" s="7" t="n"/>
      <c r="H62" s="8" t="n"/>
      <c r="I62" s="7" t="n"/>
      <c r="J62" s="8" t="n"/>
      <c r="K62" s="7" t="n"/>
      <c r="L62" s="8" t="n"/>
      <c r="M62" s="7" t="n"/>
      <c r="N62" s="8" t="n"/>
      <c r="O62" s="9" t="n"/>
      <c r="P62" s="9" t="n"/>
      <c r="Q62" s="7" t="n"/>
      <c r="R62" s="8" t="n"/>
    </row>
    <row r="63" ht="22" customHeight="1">
      <c r="A63" s="6" t="n"/>
      <c r="B63" s="7" t="n"/>
      <c r="C63" s="7" t="n"/>
      <c r="D63" s="7" t="n"/>
      <c r="E63" s="8" t="n"/>
      <c r="F63" s="7" t="n"/>
      <c r="G63" s="7" t="n"/>
      <c r="H63" s="8" t="n"/>
      <c r="I63" s="7" t="n"/>
      <c r="J63" s="8" t="n"/>
      <c r="K63" s="7" t="n"/>
      <c r="L63" s="8" t="n"/>
      <c r="M63" s="7" t="n"/>
      <c r="N63" s="8" t="n"/>
      <c r="O63" s="9" t="n"/>
      <c r="P63" s="9" t="n"/>
      <c r="Q63" s="7" t="n"/>
      <c r="R63" s="8" t="n"/>
    </row>
    <row r="64" ht="22" customHeight="1">
      <c r="A64" s="6" t="n"/>
      <c r="B64" s="7" t="n"/>
      <c r="C64" s="7" t="n"/>
      <c r="D64" s="7" t="n"/>
      <c r="E64" s="8" t="n"/>
      <c r="F64" s="7" t="n"/>
      <c r="G64" s="7" t="n"/>
      <c r="H64" s="8" t="n"/>
      <c r="I64" s="7" t="n"/>
      <c r="J64" s="8" t="n"/>
      <c r="K64" s="7" t="n"/>
      <c r="L64" s="8" t="n"/>
      <c r="M64" s="7" t="n"/>
      <c r="N64" s="8" t="n"/>
      <c r="O64" s="9" t="n"/>
      <c r="P64" s="9" t="n"/>
      <c r="Q64" s="7" t="n"/>
      <c r="R64" s="8" t="n"/>
    </row>
    <row r="65" ht="22" customHeight="1">
      <c r="A65" s="6" t="n"/>
      <c r="B65" s="7" t="n"/>
      <c r="C65" s="7" t="n"/>
      <c r="D65" s="7" t="n"/>
      <c r="E65" s="8" t="n"/>
      <c r="F65" s="7" t="n"/>
      <c r="G65" s="7" t="n"/>
      <c r="H65" s="8" t="n"/>
      <c r="I65" s="7" t="n"/>
      <c r="J65" s="8" t="n"/>
      <c r="K65" s="7" t="n"/>
      <c r="L65" s="8" t="n"/>
      <c r="M65" s="7" t="n"/>
      <c r="N65" s="8" t="n"/>
      <c r="O65" s="9" t="n"/>
      <c r="P65" s="9" t="n"/>
      <c r="Q65" s="7" t="n"/>
      <c r="R65" s="8" t="n"/>
    </row>
    <row r="66" ht="22" customHeight="1">
      <c r="A66" s="6" t="n"/>
      <c r="B66" s="7" t="n"/>
      <c r="C66" s="7" t="n"/>
      <c r="D66" s="7" t="n"/>
      <c r="E66" s="8" t="n"/>
      <c r="F66" s="7" t="n"/>
      <c r="G66" s="7" t="n"/>
      <c r="H66" s="8" t="n"/>
      <c r="I66" s="7" t="n"/>
      <c r="J66" s="8" t="n"/>
      <c r="K66" s="7" t="n"/>
      <c r="L66" s="8" t="n"/>
      <c r="M66" s="7" t="n"/>
      <c r="N66" s="8" t="n"/>
      <c r="O66" s="9" t="n"/>
      <c r="P66" s="9" t="n"/>
      <c r="Q66" s="7" t="n"/>
      <c r="R66" s="8" t="n"/>
    </row>
    <row r="67" ht="22" customHeight="1">
      <c r="A67" s="6" t="n"/>
      <c r="B67" s="7" t="n"/>
      <c r="C67" s="7" t="n"/>
      <c r="D67" s="7" t="n"/>
      <c r="E67" s="8" t="n"/>
      <c r="F67" s="7" t="n"/>
      <c r="G67" s="7" t="n"/>
      <c r="H67" s="8" t="n"/>
      <c r="I67" s="7" t="n"/>
      <c r="J67" s="8" t="n"/>
      <c r="K67" s="7" t="n"/>
      <c r="L67" s="8" t="n"/>
      <c r="M67" s="7" t="n"/>
      <c r="N67" s="8" t="n"/>
      <c r="O67" s="9" t="n"/>
      <c r="P67" s="9" t="n"/>
      <c r="Q67" s="7" t="n"/>
      <c r="R67" s="8" t="n"/>
    </row>
    <row r="68" ht="22" customHeight="1">
      <c r="A68" s="6" t="n"/>
      <c r="B68" s="7" t="n"/>
      <c r="C68" s="7" t="n"/>
      <c r="D68" s="7" t="n"/>
      <c r="E68" s="8" t="n"/>
      <c r="F68" s="7" t="n"/>
      <c r="G68" s="7" t="n"/>
      <c r="H68" s="8" t="n"/>
      <c r="I68" s="7" t="n"/>
      <c r="J68" s="8" t="n"/>
      <c r="K68" s="7" t="n"/>
      <c r="L68" s="8" t="n"/>
      <c r="M68" s="7" t="n"/>
      <c r="N68" s="8" t="n"/>
      <c r="O68" s="9" t="n"/>
      <c r="P68" s="9" t="n"/>
      <c r="Q68" s="7" t="n"/>
      <c r="R68" s="8" t="n"/>
    </row>
    <row r="69" ht="22" customHeight="1">
      <c r="A69" s="6" t="n"/>
      <c r="B69" s="7" t="n"/>
      <c r="C69" s="7" t="n"/>
      <c r="D69" s="7" t="n"/>
      <c r="E69" s="8" t="n"/>
      <c r="F69" s="7" t="n"/>
      <c r="G69" s="7" t="n"/>
      <c r="H69" s="8" t="n"/>
      <c r="I69" s="7" t="n"/>
      <c r="J69" s="8" t="n"/>
      <c r="K69" s="7" t="n"/>
      <c r="L69" s="8" t="n"/>
      <c r="M69" s="7" t="n"/>
      <c r="N69" s="8" t="n"/>
      <c r="O69" s="9" t="n"/>
      <c r="P69" s="9" t="n"/>
      <c r="Q69" s="7" t="n"/>
      <c r="R69" s="8" t="n"/>
    </row>
    <row r="70" ht="22" customHeight="1">
      <c r="A70" s="6" t="n"/>
      <c r="B70" s="7" t="n"/>
      <c r="C70" s="7" t="n"/>
      <c r="D70" s="7" t="n"/>
      <c r="E70" s="8" t="n"/>
      <c r="F70" s="7" t="n"/>
      <c r="G70" s="7" t="n"/>
      <c r="H70" s="8" t="n"/>
      <c r="I70" s="7" t="n"/>
      <c r="J70" s="8" t="n"/>
      <c r="K70" s="7" t="n"/>
      <c r="L70" s="8" t="n"/>
      <c r="M70" s="7" t="n"/>
      <c r="N70" s="8" t="n"/>
      <c r="O70" s="9" t="n"/>
      <c r="P70" s="9" t="n"/>
      <c r="Q70" s="7" t="n"/>
      <c r="R70" s="8" t="n"/>
    </row>
    <row r="71" ht="22" customHeight="1">
      <c r="A71" s="6" t="n"/>
      <c r="B71" s="7" t="n"/>
      <c r="C71" s="7" t="n"/>
      <c r="D71" s="7" t="n"/>
      <c r="E71" s="8" t="n"/>
      <c r="F71" s="7" t="n"/>
      <c r="G71" s="7" t="n"/>
      <c r="H71" s="8" t="n"/>
      <c r="I71" s="7" t="n"/>
      <c r="J71" s="8" t="n"/>
      <c r="K71" s="7" t="n"/>
      <c r="L71" s="8" t="n"/>
      <c r="M71" s="7" t="n"/>
      <c r="N71" s="8" t="n"/>
      <c r="O71" s="9" t="n"/>
      <c r="P71" s="9" t="n"/>
      <c r="Q71" s="7" t="n"/>
      <c r="R71" s="8" t="n"/>
    </row>
    <row r="72" ht="22" customHeight="1">
      <c r="A72" s="6" t="n"/>
      <c r="B72" s="7" t="n"/>
      <c r="C72" s="7" t="n"/>
      <c r="D72" s="7" t="n"/>
      <c r="E72" s="8" t="n"/>
      <c r="F72" s="7" t="n"/>
      <c r="G72" s="7" t="n"/>
      <c r="H72" s="8" t="n"/>
      <c r="I72" s="7" t="n"/>
      <c r="J72" s="8" t="n"/>
      <c r="K72" s="7" t="n"/>
      <c r="L72" s="8" t="n"/>
      <c r="M72" s="7" t="n"/>
      <c r="N72" s="8" t="n"/>
      <c r="O72" s="9" t="n"/>
      <c r="P72" s="9" t="n"/>
      <c r="Q72" s="7" t="n"/>
      <c r="R72" s="8" t="n"/>
    </row>
    <row r="73" ht="22" customHeight="1">
      <c r="A73" s="6" t="n"/>
      <c r="B73" s="7" t="n"/>
      <c r="C73" s="7" t="n"/>
      <c r="D73" s="7" t="n"/>
      <c r="E73" s="8" t="n"/>
      <c r="F73" s="7" t="n"/>
      <c r="G73" s="7" t="n"/>
      <c r="H73" s="8" t="n"/>
      <c r="I73" s="7" t="n"/>
      <c r="J73" s="8" t="n"/>
      <c r="K73" s="7" t="n"/>
      <c r="L73" s="8" t="n"/>
      <c r="M73" s="7" t="n"/>
      <c r="N73" s="8" t="n"/>
      <c r="O73" s="9" t="n"/>
      <c r="P73" s="9" t="n"/>
      <c r="Q73" s="7" t="n"/>
      <c r="R73" s="8" t="n"/>
    </row>
    <row r="74" ht="22" customHeight="1">
      <c r="A74" s="6" t="n"/>
      <c r="B74" s="7" t="n"/>
      <c r="C74" s="7" t="n"/>
      <c r="D74" s="7" t="n"/>
      <c r="E74" s="8" t="n"/>
      <c r="F74" s="7" t="n"/>
      <c r="G74" s="7" t="n"/>
      <c r="H74" s="8" t="n"/>
      <c r="I74" s="7" t="n"/>
      <c r="J74" s="8" t="n"/>
      <c r="K74" s="7" t="n"/>
      <c r="L74" s="8" t="n"/>
      <c r="M74" s="7" t="n"/>
      <c r="N74" s="8" t="n"/>
      <c r="O74" s="9" t="n"/>
      <c r="P74" s="9" t="n"/>
      <c r="Q74" s="7" t="n"/>
      <c r="R74" s="8" t="n"/>
    </row>
    <row r="75" ht="22" customHeight="1">
      <c r="A75" s="6" t="n"/>
      <c r="B75" s="7" t="n"/>
      <c r="C75" s="7" t="n"/>
      <c r="D75" s="7" t="n"/>
      <c r="E75" s="8" t="n"/>
      <c r="F75" s="7" t="n"/>
      <c r="G75" s="7" t="n"/>
      <c r="H75" s="8" t="n"/>
      <c r="I75" s="7" t="n"/>
      <c r="J75" s="8" t="n"/>
      <c r="K75" s="7" t="n"/>
      <c r="L75" s="8" t="n"/>
      <c r="M75" s="7" t="n"/>
      <c r="N75" s="8" t="n"/>
      <c r="O75" s="9" t="n"/>
      <c r="P75" s="9" t="n"/>
      <c r="Q75" s="7" t="n"/>
      <c r="R75" s="8" t="n"/>
    </row>
    <row r="76" ht="22" customHeight="1">
      <c r="A76" s="6" t="n"/>
      <c r="B76" s="7" t="n"/>
      <c r="C76" s="7" t="n"/>
      <c r="D76" s="7" t="n"/>
      <c r="E76" s="8" t="n"/>
      <c r="F76" s="7" t="n"/>
      <c r="G76" s="7" t="n"/>
      <c r="H76" s="8" t="n"/>
      <c r="I76" s="7" t="n"/>
      <c r="J76" s="8" t="n"/>
      <c r="K76" s="7" t="n"/>
      <c r="L76" s="8" t="n"/>
      <c r="M76" s="7" t="n"/>
      <c r="N76" s="8" t="n"/>
      <c r="O76" s="9" t="n"/>
      <c r="P76" s="9" t="n"/>
      <c r="Q76" s="7" t="n"/>
      <c r="R76" s="8" t="n"/>
    </row>
    <row r="77" ht="22" customHeight="1">
      <c r="A77" s="6" t="n"/>
      <c r="B77" s="7" t="n"/>
      <c r="C77" s="7" t="n"/>
      <c r="D77" s="7" t="n"/>
      <c r="E77" s="8" t="n"/>
      <c r="F77" s="7" t="n"/>
      <c r="G77" s="7" t="n"/>
      <c r="H77" s="8" t="n"/>
      <c r="I77" s="7" t="n"/>
      <c r="J77" s="8" t="n"/>
      <c r="K77" s="7" t="n"/>
      <c r="L77" s="8" t="n"/>
      <c r="M77" s="7" t="n"/>
      <c r="N77" s="8" t="n"/>
      <c r="O77" s="9" t="n"/>
      <c r="P77" s="9" t="n"/>
      <c r="Q77" s="7" t="n"/>
      <c r="R77" s="8" t="n"/>
    </row>
    <row r="78" ht="22" customHeight="1">
      <c r="A78" s="6" t="n"/>
      <c r="B78" s="7" t="n"/>
      <c r="C78" s="7" t="n"/>
      <c r="D78" s="7" t="n"/>
      <c r="E78" s="8" t="n"/>
      <c r="F78" s="7" t="n"/>
      <c r="G78" s="7" t="n"/>
      <c r="H78" s="8" t="n"/>
      <c r="I78" s="7" t="n"/>
      <c r="J78" s="8" t="n"/>
      <c r="K78" s="7" t="n"/>
      <c r="L78" s="8" t="n"/>
      <c r="M78" s="7" t="n"/>
      <c r="N78" s="8" t="n"/>
      <c r="O78" s="9" t="n"/>
      <c r="P78" s="9" t="n"/>
      <c r="Q78" s="7" t="n"/>
      <c r="R78" s="8" t="n"/>
    </row>
    <row r="79" ht="22" customHeight="1">
      <c r="A79" s="6" t="n"/>
      <c r="B79" s="7" t="n"/>
      <c r="C79" s="7" t="n"/>
      <c r="D79" s="7" t="n"/>
      <c r="E79" s="8" t="n"/>
      <c r="F79" s="7" t="n"/>
      <c r="G79" s="7" t="n"/>
      <c r="H79" s="8" t="n"/>
      <c r="I79" s="7" t="n"/>
      <c r="J79" s="8" t="n"/>
      <c r="K79" s="7" t="n"/>
      <c r="L79" s="8" t="n"/>
      <c r="M79" s="7" t="n"/>
      <c r="N79" s="8" t="n"/>
      <c r="O79" s="9" t="n"/>
      <c r="P79" s="9" t="n"/>
      <c r="Q79" s="7" t="n"/>
      <c r="R79" s="8" t="n"/>
    </row>
    <row r="80" ht="22" customHeight="1">
      <c r="A80" s="6" t="n"/>
      <c r="B80" s="7" t="n"/>
      <c r="C80" s="7" t="n"/>
      <c r="D80" s="7" t="n"/>
      <c r="E80" s="8" t="n"/>
      <c r="F80" s="7" t="n"/>
      <c r="G80" s="7" t="n"/>
      <c r="H80" s="8" t="n"/>
      <c r="I80" s="7" t="n"/>
      <c r="J80" s="8" t="n"/>
      <c r="K80" s="7" t="n"/>
      <c r="L80" s="8" t="n"/>
      <c r="M80" s="7" t="n"/>
      <c r="N80" s="8" t="n"/>
      <c r="O80" s="9" t="n"/>
      <c r="P80" s="9" t="n"/>
      <c r="Q80" s="7" t="n"/>
      <c r="R80" s="8" t="n"/>
    </row>
    <row r="81" ht="22" customHeight="1">
      <c r="A81" s="6" t="n"/>
      <c r="B81" s="7" t="n"/>
      <c r="C81" s="7" t="n"/>
      <c r="D81" s="7" t="n"/>
      <c r="E81" s="8" t="n"/>
      <c r="F81" s="7" t="n"/>
      <c r="G81" s="7" t="n"/>
      <c r="H81" s="8" t="n"/>
      <c r="I81" s="7" t="n"/>
      <c r="J81" s="8" t="n"/>
      <c r="K81" s="7" t="n"/>
      <c r="L81" s="8" t="n"/>
      <c r="M81" s="7" t="n"/>
      <c r="N81" s="8" t="n"/>
      <c r="O81" s="9" t="n"/>
      <c r="P81" s="9" t="n"/>
      <c r="Q81" s="7" t="n"/>
      <c r="R81" s="8" t="n"/>
    </row>
    <row r="82" ht="22" customHeight="1">
      <c r="A82" s="6" t="n"/>
      <c r="B82" s="7" t="n"/>
      <c r="C82" s="7" t="n"/>
      <c r="D82" s="7" t="n"/>
      <c r="E82" s="8" t="n"/>
      <c r="F82" s="7" t="n"/>
      <c r="G82" s="7" t="n"/>
      <c r="H82" s="8" t="n"/>
      <c r="I82" s="7" t="n"/>
      <c r="J82" s="8" t="n"/>
      <c r="K82" s="7" t="n"/>
      <c r="L82" s="8" t="n"/>
      <c r="M82" s="7" t="n"/>
      <c r="N82" s="8" t="n"/>
      <c r="O82" s="9" t="n"/>
      <c r="P82" s="9" t="n"/>
      <c r="Q82" s="7" t="n"/>
      <c r="R82" s="8" t="n"/>
    </row>
    <row r="83" ht="22" customHeight="1">
      <c r="A83" s="6" t="n"/>
      <c r="B83" s="7" t="n"/>
      <c r="C83" s="7" t="n"/>
      <c r="D83" s="7" t="n"/>
      <c r="E83" s="8" t="n"/>
      <c r="F83" s="7" t="n"/>
      <c r="G83" s="7" t="n"/>
      <c r="H83" s="8" t="n"/>
      <c r="I83" s="7" t="n"/>
      <c r="J83" s="8" t="n"/>
      <c r="K83" s="7" t="n"/>
      <c r="L83" s="8" t="n"/>
      <c r="M83" s="7" t="n"/>
      <c r="N83" s="8" t="n"/>
      <c r="O83" s="9" t="n"/>
      <c r="P83" s="9" t="n"/>
      <c r="Q83" s="7" t="n"/>
      <c r="R83" s="8" t="n"/>
    </row>
    <row r="84" ht="22" customHeight="1">
      <c r="A84" s="6" t="n"/>
      <c r="B84" s="7" t="n"/>
      <c r="C84" s="7" t="n"/>
      <c r="D84" s="7" t="n"/>
      <c r="E84" s="8" t="n"/>
      <c r="F84" s="7" t="n"/>
      <c r="G84" s="7" t="n"/>
      <c r="H84" s="8" t="n"/>
      <c r="I84" s="7" t="n"/>
      <c r="J84" s="8" t="n"/>
      <c r="K84" s="7" t="n"/>
      <c r="L84" s="8" t="n"/>
      <c r="M84" s="7" t="n"/>
      <c r="N84" s="8" t="n"/>
      <c r="O84" s="9" t="n"/>
      <c r="P84" s="9" t="n"/>
      <c r="Q84" s="7" t="n"/>
      <c r="R84" s="8" t="n"/>
    </row>
    <row r="85" ht="22" customHeight="1">
      <c r="A85" s="6" t="n"/>
      <c r="B85" s="7" t="n"/>
      <c r="C85" s="7" t="n"/>
      <c r="D85" s="7" t="n"/>
      <c r="E85" s="8" t="n"/>
      <c r="F85" s="7" t="n"/>
      <c r="G85" s="7" t="n"/>
      <c r="H85" s="8" t="n"/>
      <c r="I85" s="7" t="n"/>
      <c r="J85" s="8" t="n"/>
      <c r="K85" s="7" t="n"/>
      <c r="L85" s="8" t="n"/>
      <c r="M85" s="7" t="n"/>
      <c r="N85" s="8" t="n"/>
      <c r="O85" s="9" t="n"/>
      <c r="P85" s="9" t="n"/>
      <c r="Q85" s="7" t="n"/>
      <c r="R85" s="8" t="n"/>
    </row>
    <row r="86" ht="22" customHeight="1">
      <c r="A86" s="6" t="n"/>
      <c r="B86" s="7" t="n"/>
      <c r="C86" s="7" t="n"/>
      <c r="D86" s="7" t="n"/>
      <c r="E86" s="8" t="n"/>
      <c r="F86" s="7" t="n"/>
      <c r="G86" s="7" t="n"/>
      <c r="H86" s="8" t="n"/>
      <c r="I86" s="7" t="n"/>
      <c r="J86" s="8" t="n"/>
      <c r="K86" s="7" t="n"/>
      <c r="L86" s="8" t="n"/>
      <c r="M86" s="7" t="n"/>
      <c r="N86" s="8" t="n"/>
      <c r="O86" s="9" t="n"/>
      <c r="P86" s="9" t="n"/>
      <c r="Q86" s="7" t="n"/>
      <c r="R86" s="8" t="n"/>
    </row>
    <row r="87" ht="22" customHeight="1">
      <c r="A87" s="6" t="n"/>
      <c r="B87" s="7" t="n"/>
      <c r="C87" s="7" t="n"/>
      <c r="D87" s="7" t="n"/>
      <c r="E87" s="8" t="n"/>
      <c r="F87" s="7" t="n"/>
      <c r="G87" s="7" t="n"/>
      <c r="H87" s="8" t="n"/>
      <c r="I87" s="7" t="n"/>
      <c r="J87" s="8" t="n"/>
      <c r="K87" s="7" t="n"/>
      <c r="L87" s="8" t="n"/>
      <c r="M87" s="7" t="n"/>
      <c r="N87" s="8" t="n"/>
      <c r="O87" s="9" t="n"/>
      <c r="P87" s="9" t="n"/>
      <c r="Q87" s="7" t="n"/>
      <c r="R87" s="8" t="n"/>
    </row>
    <row r="88" ht="22" customHeight="1">
      <c r="A88" s="6" t="n"/>
      <c r="B88" s="7" t="n"/>
      <c r="C88" s="7" t="n"/>
      <c r="D88" s="7" t="n"/>
      <c r="E88" s="8" t="n"/>
      <c r="F88" s="7" t="n"/>
      <c r="G88" s="7" t="n"/>
      <c r="H88" s="8" t="n"/>
      <c r="I88" s="7" t="n"/>
      <c r="J88" s="8" t="n"/>
      <c r="K88" s="7" t="n"/>
      <c r="L88" s="8" t="n"/>
      <c r="M88" s="7" t="n"/>
      <c r="N88" s="8" t="n"/>
      <c r="O88" s="9" t="n"/>
      <c r="P88" s="9" t="n"/>
      <c r="Q88" s="7" t="n"/>
      <c r="R88" s="8" t="n"/>
    </row>
    <row r="89" ht="22" customHeight="1">
      <c r="A89" s="6" t="n"/>
      <c r="B89" s="7" t="n"/>
      <c r="C89" s="7" t="n"/>
      <c r="D89" s="7" t="n"/>
      <c r="E89" s="8" t="n"/>
      <c r="F89" s="7" t="n"/>
      <c r="G89" s="7" t="n"/>
      <c r="H89" s="8" t="n"/>
      <c r="I89" s="7" t="n"/>
      <c r="J89" s="8" t="n"/>
      <c r="K89" s="7" t="n"/>
      <c r="L89" s="8" t="n"/>
      <c r="M89" s="7" t="n"/>
      <c r="N89" s="8" t="n"/>
      <c r="O89" s="9" t="n"/>
      <c r="P89" s="9" t="n"/>
      <c r="Q89" s="7" t="n"/>
      <c r="R89" s="8" t="n"/>
    </row>
    <row r="90" ht="22" customHeight="1">
      <c r="A90" s="6" t="n"/>
      <c r="B90" s="7" t="n"/>
      <c r="C90" s="7" t="n"/>
      <c r="D90" s="7" t="n"/>
      <c r="E90" s="8" t="n"/>
      <c r="F90" s="7" t="n"/>
      <c r="G90" s="7" t="n"/>
      <c r="H90" s="8" t="n"/>
      <c r="I90" s="7" t="n"/>
      <c r="J90" s="8" t="n"/>
      <c r="K90" s="7" t="n"/>
      <c r="L90" s="8" t="n"/>
      <c r="M90" s="7" t="n"/>
      <c r="N90" s="8" t="n"/>
      <c r="O90" s="9" t="n"/>
      <c r="P90" s="9" t="n"/>
      <c r="Q90" s="7" t="n"/>
      <c r="R90" s="8" t="n"/>
    </row>
    <row r="91" ht="22" customHeight="1">
      <c r="A91" s="6" t="n"/>
      <c r="B91" s="7" t="n"/>
      <c r="C91" s="7" t="n"/>
      <c r="D91" s="7" t="n"/>
      <c r="E91" s="8" t="n"/>
      <c r="F91" s="7" t="n"/>
      <c r="G91" s="7" t="n"/>
      <c r="H91" s="8" t="n"/>
      <c r="I91" s="7" t="n"/>
      <c r="J91" s="8" t="n"/>
      <c r="K91" s="7" t="n"/>
      <c r="L91" s="8" t="n"/>
      <c r="M91" s="7" t="n"/>
      <c r="N91" s="8" t="n"/>
      <c r="O91" s="9" t="n"/>
      <c r="P91" s="9" t="n"/>
      <c r="Q91" s="7" t="n"/>
      <c r="R91" s="8" t="n"/>
    </row>
    <row r="92" ht="22" customHeight="1">
      <c r="A92" s="6" t="n"/>
      <c r="B92" s="7" t="n"/>
      <c r="C92" s="7" t="n"/>
      <c r="D92" s="7" t="n"/>
      <c r="E92" s="8" t="n"/>
      <c r="F92" s="7" t="n"/>
      <c r="G92" s="7" t="n"/>
      <c r="H92" s="8" t="n"/>
      <c r="I92" s="7" t="n"/>
      <c r="J92" s="8" t="n"/>
      <c r="K92" s="7" t="n"/>
      <c r="L92" s="8" t="n"/>
      <c r="M92" s="7" t="n"/>
      <c r="N92" s="8" t="n"/>
      <c r="O92" s="9" t="n"/>
      <c r="P92" s="9" t="n"/>
      <c r="Q92" s="7" t="n"/>
      <c r="R92" s="8" t="n"/>
    </row>
    <row r="93" ht="22" customHeight="1">
      <c r="A93" s="6" t="n"/>
      <c r="B93" s="7" t="n"/>
      <c r="C93" s="7" t="n"/>
      <c r="D93" s="7" t="n"/>
      <c r="E93" s="8" t="n"/>
      <c r="F93" s="7" t="n"/>
      <c r="G93" s="7" t="n"/>
      <c r="H93" s="8" t="n"/>
      <c r="I93" s="7" t="n"/>
      <c r="J93" s="8" t="n"/>
      <c r="K93" s="7" t="n"/>
      <c r="L93" s="8" t="n"/>
      <c r="M93" s="7" t="n"/>
      <c r="N93" s="8" t="n"/>
      <c r="O93" s="9" t="n"/>
      <c r="P93" s="9" t="n"/>
      <c r="Q93" s="7" t="n"/>
      <c r="R93" s="8" t="n"/>
    </row>
    <row r="94" ht="22" customHeight="1">
      <c r="A94" s="6" t="n"/>
      <c r="B94" s="7" t="n"/>
      <c r="C94" s="7" t="n"/>
      <c r="D94" s="7" t="n"/>
      <c r="E94" s="8" t="n"/>
      <c r="F94" s="7" t="n"/>
      <c r="G94" s="7" t="n"/>
      <c r="H94" s="8" t="n"/>
      <c r="I94" s="7" t="n"/>
      <c r="J94" s="8" t="n"/>
      <c r="K94" s="7" t="n"/>
      <c r="L94" s="8" t="n"/>
      <c r="M94" s="7" t="n"/>
      <c r="N94" s="8" t="n"/>
      <c r="O94" s="9" t="n"/>
      <c r="P94" s="9" t="n"/>
      <c r="Q94" s="7" t="n"/>
      <c r="R94" s="8" t="n"/>
    </row>
    <row r="95" ht="22" customHeight="1">
      <c r="A95" s="6" t="n"/>
      <c r="B95" s="7" t="n"/>
      <c r="C95" s="7" t="n"/>
      <c r="D95" s="7" t="n"/>
      <c r="E95" s="8" t="n"/>
      <c r="F95" s="7" t="n"/>
      <c r="G95" s="7" t="n"/>
      <c r="H95" s="8" t="n"/>
      <c r="I95" s="7" t="n"/>
      <c r="J95" s="8" t="n"/>
      <c r="K95" s="7" t="n"/>
      <c r="L95" s="8" t="n"/>
      <c r="M95" s="7" t="n"/>
      <c r="N95" s="8" t="n"/>
      <c r="O95" s="9" t="n"/>
      <c r="P95" s="9" t="n"/>
      <c r="Q95" s="7" t="n"/>
      <c r="R95" s="8" t="n"/>
    </row>
    <row r="96" ht="22" customHeight="1">
      <c r="A96" s="6" t="n"/>
      <c r="B96" s="7" t="n"/>
      <c r="C96" s="7" t="n"/>
      <c r="D96" s="7" t="n"/>
      <c r="E96" s="8" t="n"/>
      <c r="F96" s="7" t="n"/>
      <c r="G96" s="7" t="n"/>
      <c r="H96" s="8" t="n"/>
      <c r="I96" s="7" t="n"/>
      <c r="J96" s="8" t="n"/>
      <c r="K96" s="7" t="n"/>
      <c r="L96" s="8" t="n"/>
      <c r="M96" s="7" t="n"/>
      <c r="N96" s="8" t="n"/>
      <c r="O96" s="9" t="n"/>
      <c r="P96" s="9" t="n"/>
      <c r="Q96" s="7" t="n"/>
      <c r="R96" s="8" t="n"/>
    </row>
    <row r="97" ht="22" customHeight="1">
      <c r="A97" s="6" t="n"/>
      <c r="B97" s="7" t="n"/>
      <c r="C97" s="7" t="n"/>
      <c r="D97" s="7" t="n"/>
      <c r="E97" s="8" t="n"/>
      <c r="F97" s="7" t="n"/>
      <c r="G97" s="7" t="n"/>
      <c r="H97" s="8" t="n"/>
      <c r="I97" s="7" t="n"/>
      <c r="J97" s="8" t="n"/>
      <c r="K97" s="7" t="n"/>
      <c r="L97" s="8" t="n"/>
      <c r="M97" s="7" t="n"/>
      <c r="N97" s="8" t="n"/>
      <c r="O97" s="9" t="n"/>
      <c r="P97" s="9" t="n"/>
      <c r="Q97" s="7" t="n"/>
      <c r="R97" s="8" t="n"/>
    </row>
    <row r="98" ht="22" customHeight="1">
      <c r="A98" s="6" t="n"/>
      <c r="B98" s="7" t="n"/>
      <c r="C98" s="7" t="n"/>
      <c r="D98" s="7" t="n"/>
      <c r="E98" s="8" t="n"/>
      <c r="F98" s="7" t="n"/>
      <c r="G98" s="7" t="n"/>
      <c r="H98" s="8" t="n"/>
      <c r="I98" s="7" t="n"/>
      <c r="J98" s="8" t="n"/>
      <c r="K98" s="7" t="n"/>
      <c r="L98" s="8" t="n"/>
      <c r="M98" s="7" t="n"/>
      <c r="N98" s="8" t="n"/>
      <c r="O98" s="9" t="n"/>
      <c r="P98" s="9" t="n"/>
      <c r="Q98" s="7" t="n"/>
      <c r="R98" s="8" t="n"/>
    </row>
    <row r="99" ht="22" customHeight="1">
      <c r="A99" s="6" t="n"/>
      <c r="B99" s="7" t="n"/>
      <c r="C99" s="7" t="n"/>
      <c r="D99" s="7" t="n"/>
      <c r="E99" s="8" t="n"/>
      <c r="F99" s="7" t="n"/>
      <c r="G99" s="7" t="n"/>
      <c r="H99" s="8" t="n"/>
      <c r="I99" s="7" t="n"/>
      <c r="J99" s="8" t="n"/>
      <c r="K99" s="7" t="n"/>
      <c r="L99" s="8" t="n"/>
      <c r="M99" s="7" t="n"/>
      <c r="N99" s="8" t="n"/>
      <c r="O99" s="9" t="n"/>
      <c r="P99" s="9" t="n"/>
      <c r="Q99" s="7" t="n"/>
      <c r="R99" s="8" t="n"/>
    </row>
    <row r="100" ht="22" customHeight="1">
      <c r="A100" s="6" t="n"/>
      <c r="B100" s="7" t="n"/>
      <c r="C100" s="7" t="n"/>
      <c r="D100" s="7" t="n"/>
      <c r="E100" s="8" t="n"/>
      <c r="F100" s="7" t="n"/>
      <c r="G100" s="7" t="n"/>
      <c r="H100" s="8" t="n"/>
      <c r="I100" s="7" t="n"/>
      <c r="J100" s="8" t="n"/>
      <c r="K100" s="7" t="n"/>
      <c r="L100" s="8" t="n"/>
      <c r="M100" s="7" t="n"/>
      <c r="N100" s="8" t="n"/>
      <c r="O100" s="9" t="n"/>
      <c r="P100" s="9" t="n"/>
      <c r="Q100" s="7" t="n"/>
      <c r="R100" s="8" t="n"/>
    </row>
    <row r="101" ht="22" customHeight="1">
      <c r="A101" s="6" t="n"/>
      <c r="B101" s="7" t="n"/>
      <c r="C101" s="7" t="n"/>
      <c r="D101" s="7" t="n"/>
      <c r="E101" s="8" t="n"/>
      <c r="F101" s="7" t="n"/>
      <c r="G101" s="7" t="n"/>
      <c r="H101" s="8" t="n"/>
      <c r="I101" s="7" t="n"/>
      <c r="J101" s="8" t="n"/>
      <c r="K101" s="7" t="n"/>
      <c r="L101" s="8" t="n"/>
      <c r="M101" s="7" t="n"/>
      <c r="N101" s="8" t="n"/>
      <c r="O101" s="9" t="n"/>
      <c r="P101" s="9" t="n"/>
      <c r="Q101" s="7" t="n"/>
      <c r="R101" s="8" t="n"/>
    </row>
    <row r="102" ht="22" customHeight="1">
      <c r="A102" s="6" t="n"/>
      <c r="B102" s="7" t="n"/>
      <c r="C102" s="7" t="n"/>
      <c r="D102" s="7" t="n"/>
      <c r="E102" s="8" t="n"/>
      <c r="F102" s="7" t="n"/>
      <c r="G102" s="7" t="n"/>
      <c r="H102" s="8" t="n"/>
      <c r="I102" s="7" t="n"/>
      <c r="J102" s="8" t="n"/>
      <c r="K102" s="7" t="n"/>
      <c r="L102" s="8" t="n"/>
      <c r="M102" s="7" t="n"/>
      <c r="N102" s="8" t="n"/>
      <c r="O102" s="9" t="n"/>
      <c r="P102" s="9" t="n"/>
      <c r="Q102" s="7" t="n"/>
      <c r="R102" s="8" t="n"/>
    </row>
    <row r="103" ht="22" customHeight="1">
      <c r="A103" s="6" t="n"/>
      <c r="B103" s="7" t="n"/>
      <c r="C103" s="7" t="n"/>
      <c r="D103" s="7" t="n"/>
      <c r="E103" s="8" t="n"/>
      <c r="F103" s="7" t="n"/>
      <c r="G103" s="7" t="n"/>
      <c r="H103" s="8" t="n"/>
      <c r="I103" s="7" t="n"/>
      <c r="J103" s="8" t="n"/>
      <c r="K103" s="7" t="n"/>
      <c r="L103" s="8" t="n"/>
      <c r="M103" s="7" t="n"/>
      <c r="N103" s="8" t="n"/>
      <c r="O103" s="9" t="n"/>
      <c r="P103" s="9" t="n"/>
      <c r="Q103" s="7" t="n"/>
      <c r="R103" s="8" t="n"/>
    </row>
    <row r="104" ht="22" customHeight="1">
      <c r="A104" s="6" t="n"/>
      <c r="B104" s="7" t="n"/>
      <c r="C104" s="7" t="n"/>
      <c r="D104" s="7" t="n"/>
      <c r="E104" s="8" t="n"/>
      <c r="F104" s="7" t="n"/>
      <c r="G104" s="7" t="n"/>
      <c r="H104" s="8" t="n"/>
      <c r="I104" s="7" t="n"/>
      <c r="J104" s="8" t="n"/>
      <c r="K104" s="7" t="n"/>
      <c r="L104" s="8" t="n"/>
      <c r="M104" s="7" t="n"/>
      <c r="N104" s="8" t="n"/>
      <c r="O104" s="9" t="n"/>
      <c r="P104" s="9" t="n"/>
      <c r="Q104" s="7" t="n"/>
      <c r="R104" s="8" t="n"/>
    </row>
    <row r="105" ht="22" customHeight="1">
      <c r="A105" s="6" t="n"/>
      <c r="B105" s="7" t="n"/>
      <c r="C105" s="7" t="n"/>
      <c r="D105" s="7" t="n"/>
      <c r="E105" s="8" t="n"/>
      <c r="F105" s="7" t="n"/>
      <c r="G105" s="7" t="n"/>
      <c r="H105" s="8" t="n"/>
      <c r="I105" s="7" t="n"/>
      <c r="J105" s="8" t="n"/>
      <c r="K105" s="7" t="n"/>
      <c r="L105" s="8" t="n"/>
      <c r="M105" s="7" t="n"/>
      <c r="N105" s="8" t="n"/>
      <c r="O105" s="9" t="n"/>
      <c r="P105" s="9" t="n"/>
      <c r="Q105" s="7" t="n"/>
      <c r="R105" s="8" t="n"/>
    </row>
    <row r="106" ht="22" customHeight="1">
      <c r="A106" s="6" t="n"/>
      <c r="B106" s="7" t="n"/>
      <c r="C106" s="7" t="n"/>
      <c r="D106" s="7" t="n"/>
      <c r="E106" s="8" t="n"/>
      <c r="F106" s="7" t="n"/>
      <c r="G106" s="7" t="n"/>
      <c r="H106" s="8" t="n"/>
      <c r="I106" s="7" t="n"/>
      <c r="J106" s="8" t="n"/>
      <c r="K106" s="7" t="n"/>
      <c r="L106" s="8" t="n"/>
      <c r="M106" s="7" t="n"/>
      <c r="N106" s="8" t="n"/>
      <c r="O106" s="9" t="n"/>
      <c r="P106" s="9" t="n"/>
      <c r="Q106" s="7" t="n"/>
      <c r="R106" s="8" t="n"/>
    </row>
    <row r="107" ht="22" customHeight="1">
      <c r="A107" s="6" t="n"/>
      <c r="B107" s="7" t="n"/>
      <c r="C107" s="7" t="n"/>
      <c r="D107" s="7" t="n"/>
      <c r="E107" s="8" t="n"/>
      <c r="F107" s="7" t="n"/>
      <c r="G107" s="7" t="n"/>
      <c r="H107" s="8" t="n"/>
      <c r="I107" s="7" t="n"/>
      <c r="J107" s="8" t="n"/>
      <c r="K107" s="7" t="n"/>
      <c r="L107" s="8" t="n"/>
      <c r="M107" s="7" t="n"/>
      <c r="N107" s="8" t="n"/>
      <c r="O107" s="9" t="n"/>
      <c r="P107" s="9" t="n"/>
      <c r="Q107" s="7" t="n"/>
      <c r="R107" s="8" t="n"/>
    </row>
    <row r="108" ht="22" customHeight="1">
      <c r="A108" s="6" t="n"/>
      <c r="B108" s="7" t="n"/>
      <c r="C108" s="7" t="n"/>
      <c r="D108" s="7" t="n"/>
      <c r="E108" s="8" t="n"/>
      <c r="F108" s="7" t="n"/>
      <c r="G108" s="7" t="n"/>
      <c r="H108" s="8" t="n"/>
      <c r="I108" s="7" t="n"/>
      <c r="J108" s="8" t="n"/>
      <c r="K108" s="7" t="n"/>
      <c r="L108" s="8" t="n"/>
      <c r="M108" s="7" t="n"/>
      <c r="N108" s="8" t="n"/>
      <c r="O108" s="9" t="n"/>
      <c r="P108" s="9" t="n"/>
      <c r="Q108" s="7" t="n"/>
      <c r="R108" s="8" t="n"/>
    </row>
    <row r="109" ht="22" customHeight="1">
      <c r="A109" s="6" t="n"/>
      <c r="B109" s="7" t="n"/>
      <c r="C109" s="7" t="n"/>
      <c r="D109" s="7" t="n"/>
      <c r="E109" s="8" t="n"/>
      <c r="F109" s="7" t="n"/>
      <c r="G109" s="7" t="n"/>
      <c r="H109" s="8" t="n"/>
      <c r="I109" s="7" t="n"/>
      <c r="J109" s="8" t="n"/>
      <c r="K109" s="7" t="n"/>
      <c r="L109" s="8" t="n"/>
      <c r="M109" s="7" t="n"/>
      <c r="N109" s="8" t="n"/>
      <c r="O109" s="9" t="n"/>
      <c r="P109" s="9" t="n"/>
      <c r="Q109" s="7" t="n"/>
      <c r="R109" s="8" t="n"/>
    </row>
    <row r="110" ht="22" customHeight="1">
      <c r="A110" s="6" t="n"/>
      <c r="B110" s="7" t="n"/>
      <c r="C110" s="7" t="n"/>
      <c r="D110" s="7" t="n"/>
      <c r="E110" s="8" t="n"/>
      <c r="F110" s="7" t="n"/>
      <c r="G110" s="7" t="n"/>
      <c r="H110" s="8" t="n"/>
      <c r="I110" s="7" t="n"/>
      <c r="J110" s="8" t="n"/>
      <c r="K110" s="7" t="n"/>
      <c r="L110" s="8" t="n"/>
      <c r="M110" s="7" t="n"/>
      <c r="N110" s="8" t="n"/>
      <c r="O110" s="9" t="n"/>
      <c r="P110" s="9" t="n"/>
      <c r="Q110" s="7" t="n"/>
      <c r="R110" s="8" t="n"/>
    </row>
    <row r="111" ht="22" customHeight="1">
      <c r="A111" s="6" t="n"/>
      <c r="B111" s="7" t="n"/>
      <c r="C111" s="7" t="n"/>
      <c r="D111" s="7" t="n"/>
      <c r="E111" s="8" t="n"/>
      <c r="F111" s="7" t="n"/>
      <c r="G111" s="7" t="n"/>
      <c r="H111" s="8" t="n"/>
      <c r="I111" s="7" t="n"/>
      <c r="J111" s="8" t="n"/>
      <c r="K111" s="7" t="n"/>
      <c r="L111" s="8" t="n"/>
      <c r="M111" s="7" t="n"/>
      <c r="N111" s="8" t="n"/>
      <c r="O111" s="9" t="n"/>
      <c r="P111" s="9" t="n"/>
      <c r="Q111" s="7" t="n"/>
      <c r="R111" s="8" t="n"/>
    </row>
    <row r="112" ht="22" customHeight="1">
      <c r="A112" s="6" t="n"/>
      <c r="B112" s="7" t="n"/>
      <c r="C112" s="7" t="n"/>
      <c r="D112" s="7" t="n"/>
      <c r="E112" s="8" t="n"/>
      <c r="F112" s="7" t="n"/>
      <c r="G112" s="7" t="n"/>
      <c r="H112" s="8" t="n"/>
      <c r="I112" s="7" t="n"/>
      <c r="J112" s="8" t="n"/>
      <c r="K112" s="7" t="n"/>
      <c r="L112" s="8" t="n"/>
      <c r="M112" s="7" t="n"/>
      <c r="N112" s="8" t="n"/>
      <c r="O112" s="9" t="n"/>
      <c r="P112" s="9" t="n"/>
      <c r="Q112" s="7" t="n"/>
      <c r="R112" s="8" t="n"/>
    </row>
    <row r="113" ht="22" customHeight="1">
      <c r="A113" s="6" t="n"/>
      <c r="B113" s="7" t="n"/>
      <c r="C113" s="7" t="n"/>
      <c r="D113" s="7" t="n"/>
      <c r="E113" s="8" t="n"/>
      <c r="F113" s="7" t="n"/>
      <c r="G113" s="7" t="n"/>
      <c r="H113" s="8" t="n"/>
      <c r="I113" s="7" t="n"/>
      <c r="J113" s="8" t="n"/>
      <c r="K113" s="7" t="n"/>
      <c r="L113" s="8" t="n"/>
      <c r="M113" s="7" t="n"/>
      <c r="N113" s="8" t="n"/>
      <c r="O113" s="9" t="n"/>
      <c r="P113" s="9" t="n"/>
      <c r="Q113" s="7" t="n"/>
      <c r="R113" s="8" t="n"/>
    </row>
    <row r="114" ht="22" customHeight="1">
      <c r="A114" s="6" t="n"/>
      <c r="B114" s="7" t="n"/>
      <c r="C114" s="7" t="n"/>
      <c r="D114" s="7" t="n"/>
      <c r="E114" s="8" t="n"/>
      <c r="F114" s="7" t="n"/>
      <c r="G114" s="7" t="n"/>
      <c r="H114" s="8" t="n"/>
      <c r="I114" s="7" t="n"/>
      <c r="J114" s="8" t="n"/>
      <c r="K114" s="7" t="n"/>
      <c r="L114" s="8" t="n"/>
      <c r="M114" s="7" t="n"/>
      <c r="N114" s="8" t="n"/>
      <c r="O114" s="9" t="n"/>
      <c r="P114" s="9" t="n"/>
      <c r="Q114" s="7" t="n"/>
      <c r="R114" s="8" t="n"/>
    </row>
    <row r="115" ht="22" customHeight="1">
      <c r="A115" s="6" t="n"/>
      <c r="B115" s="7" t="n"/>
      <c r="C115" s="7" t="n"/>
      <c r="D115" s="7" t="n"/>
      <c r="E115" s="8" t="n"/>
      <c r="F115" s="7" t="n"/>
      <c r="G115" s="7" t="n"/>
      <c r="H115" s="8" t="n"/>
      <c r="I115" s="7" t="n"/>
      <c r="J115" s="8" t="n"/>
      <c r="K115" s="7" t="n"/>
      <c r="L115" s="8" t="n"/>
      <c r="M115" s="7" t="n"/>
      <c r="N115" s="8" t="n"/>
      <c r="O115" s="9" t="n"/>
      <c r="P115" s="9" t="n"/>
      <c r="Q115" s="7" t="n"/>
      <c r="R115" s="8" t="n"/>
    </row>
    <row r="116" ht="22" customHeight="1">
      <c r="A116" s="6" t="n"/>
      <c r="B116" s="7" t="n"/>
      <c r="C116" s="7" t="n"/>
      <c r="D116" s="7" t="n"/>
      <c r="E116" s="8" t="n"/>
      <c r="F116" s="7" t="n"/>
      <c r="G116" s="7" t="n"/>
      <c r="H116" s="8" t="n"/>
      <c r="I116" s="7" t="n"/>
      <c r="J116" s="8" t="n"/>
      <c r="K116" s="7" t="n"/>
      <c r="L116" s="8" t="n"/>
      <c r="M116" s="7" t="n"/>
      <c r="N116" s="8" t="n"/>
      <c r="O116" s="9" t="n"/>
      <c r="P116" s="9" t="n"/>
      <c r="Q116" s="7" t="n"/>
      <c r="R116" s="8" t="n"/>
    </row>
    <row r="117" ht="22" customHeight="1">
      <c r="A117" s="6" t="n"/>
      <c r="B117" s="7" t="n"/>
      <c r="C117" s="7" t="n"/>
      <c r="D117" s="7" t="n"/>
      <c r="E117" s="8" t="n"/>
      <c r="F117" s="7" t="n"/>
      <c r="G117" s="7" t="n"/>
      <c r="H117" s="8" t="n"/>
      <c r="I117" s="7" t="n"/>
      <c r="J117" s="8" t="n"/>
      <c r="K117" s="7" t="n"/>
      <c r="L117" s="8" t="n"/>
      <c r="M117" s="7" t="n"/>
      <c r="N117" s="8" t="n"/>
      <c r="O117" s="9" t="n"/>
      <c r="P117" s="9" t="n"/>
      <c r="Q117" s="7" t="n"/>
      <c r="R117" s="8" t="n"/>
    </row>
    <row r="118" ht="22" customHeight="1">
      <c r="A118" s="6" t="n"/>
      <c r="B118" s="7" t="n"/>
      <c r="C118" s="7" t="n"/>
      <c r="D118" s="7" t="n"/>
      <c r="E118" s="8" t="n"/>
      <c r="F118" s="7" t="n"/>
      <c r="G118" s="7" t="n"/>
      <c r="H118" s="8" t="n"/>
      <c r="I118" s="7" t="n"/>
      <c r="J118" s="8" t="n"/>
      <c r="K118" s="7" t="n"/>
      <c r="L118" s="8" t="n"/>
      <c r="M118" s="7" t="n"/>
      <c r="N118" s="8" t="n"/>
      <c r="O118" s="9" t="n"/>
      <c r="P118" s="9" t="n"/>
      <c r="Q118" s="7" t="n"/>
      <c r="R118" s="8" t="n"/>
    </row>
    <row r="119" ht="22" customHeight="1">
      <c r="A119" s="6" t="n"/>
      <c r="B119" s="7" t="n"/>
      <c r="C119" s="7" t="n"/>
      <c r="D119" s="7" t="n"/>
      <c r="E119" s="8" t="n"/>
      <c r="F119" s="7" t="n"/>
      <c r="G119" s="7" t="n"/>
      <c r="H119" s="8" t="n"/>
      <c r="I119" s="7" t="n"/>
      <c r="J119" s="8" t="n"/>
      <c r="K119" s="7" t="n"/>
      <c r="L119" s="8" t="n"/>
      <c r="M119" s="7" t="n"/>
      <c r="N119" s="8" t="n"/>
      <c r="O119" s="9" t="n"/>
      <c r="P119" s="9" t="n"/>
      <c r="Q119" s="7" t="n"/>
      <c r="R119" s="8" t="n"/>
    </row>
    <row r="120" ht="22" customHeight="1">
      <c r="A120" s="6" t="n"/>
      <c r="B120" s="7" t="n"/>
      <c r="C120" s="7" t="n"/>
      <c r="D120" s="7" t="n"/>
      <c r="E120" s="8" t="n"/>
      <c r="F120" s="7" t="n"/>
      <c r="G120" s="7" t="n"/>
      <c r="H120" s="8" t="n"/>
      <c r="I120" s="7" t="n"/>
      <c r="J120" s="8" t="n"/>
      <c r="K120" s="7" t="n"/>
      <c r="L120" s="8" t="n"/>
      <c r="M120" s="7" t="n"/>
      <c r="N120" s="8" t="n"/>
      <c r="O120" s="9" t="n"/>
      <c r="P120" s="9" t="n"/>
      <c r="Q120" s="7" t="n"/>
      <c r="R120" s="8" t="n"/>
    </row>
    <row r="121" ht="22" customHeight="1">
      <c r="A121" s="6" t="n"/>
      <c r="B121" s="7" t="n"/>
      <c r="C121" s="7" t="n"/>
      <c r="D121" s="7" t="n"/>
      <c r="E121" s="8" t="n"/>
      <c r="F121" s="7" t="n"/>
      <c r="G121" s="7" t="n"/>
      <c r="H121" s="8" t="n"/>
      <c r="I121" s="7" t="n"/>
      <c r="J121" s="8" t="n"/>
      <c r="K121" s="7" t="n"/>
      <c r="L121" s="8" t="n"/>
      <c r="M121" s="7" t="n"/>
      <c r="N121" s="8" t="n"/>
      <c r="O121" s="9" t="n"/>
      <c r="P121" s="9" t="n"/>
      <c r="Q121" s="7" t="n"/>
      <c r="R121" s="8" t="n"/>
    </row>
    <row r="122" ht="22" customHeight="1">
      <c r="A122" s="6" t="n"/>
      <c r="B122" s="7" t="n"/>
      <c r="C122" s="7" t="n"/>
      <c r="D122" s="7" t="n"/>
      <c r="E122" s="8" t="n"/>
      <c r="F122" s="7" t="n"/>
      <c r="G122" s="7" t="n"/>
      <c r="H122" s="8" t="n"/>
      <c r="I122" s="7" t="n"/>
      <c r="J122" s="8" t="n"/>
      <c r="K122" s="7" t="n"/>
      <c r="L122" s="8" t="n"/>
      <c r="M122" s="7" t="n"/>
      <c r="N122" s="8" t="n"/>
      <c r="O122" s="9" t="n"/>
      <c r="P122" s="9" t="n"/>
      <c r="Q122" s="7" t="n"/>
      <c r="R122" s="8" t="n"/>
    </row>
    <row r="123" ht="22" customHeight="1">
      <c r="A123" s="6" t="n"/>
      <c r="B123" s="7" t="n"/>
      <c r="C123" s="7" t="n"/>
      <c r="D123" s="7" t="n"/>
      <c r="E123" s="8" t="n"/>
      <c r="F123" s="7" t="n"/>
      <c r="G123" s="7" t="n"/>
      <c r="H123" s="8" t="n"/>
      <c r="I123" s="7" t="n"/>
      <c r="J123" s="8" t="n"/>
      <c r="K123" s="7" t="n"/>
      <c r="L123" s="8" t="n"/>
      <c r="M123" s="7" t="n"/>
      <c r="N123" s="8" t="n"/>
      <c r="O123" s="9" t="n"/>
      <c r="P123" s="9" t="n"/>
      <c r="Q123" s="7" t="n"/>
      <c r="R123" s="8" t="n"/>
    </row>
    <row r="124" ht="22" customHeight="1">
      <c r="A124" s="6" t="n"/>
      <c r="B124" s="7" t="n"/>
      <c r="C124" s="7" t="n"/>
      <c r="D124" s="7" t="n"/>
      <c r="E124" s="8" t="n"/>
      <c r="F124" s="7" t="n"/>
      <c r="G124" s="7" t="n"/>
      <c r="H124" s="8" t="n"/>
      <c r="I124" s="7" t="n"/>
      <c r="J124" s="8" t="n"/>
      <c r="K124" s="7" t="n"/>
      <c r="L124" s="8" t="n"/>
      <c r="M124" s="7" t="n"/>
      <c r="N124" s="8" t="n"/>
      <c r="O124" s="9" t="n"/>
      <c r="P124" s="9" t="n"/>
      <c r="Q124" s="7" t="n"/>
      <c r="R124" s="8" t="n"/>
    </row>
    <row r="125" ht="22" customHeight="1">
      <c r="A125" s="6" t="n"/>
      <c r="B125" s="7" t="n"/>
      <c r="C125" s="7" t="n"/>
      <c r="D125" s="7" t="n"/>
      <c r="E125" s="8" t="n"/>
      <c r="F125" s="7" t="n"/>
      <c r="G125" s="7" t="n"/>
      <c r="H125" s="8" t="n"/>
      <c r="I125" s="7" t="n"/>
      <c r="J125" s="8" t="n"/>
      <c r="K125" s="7" t="n"/>
      <c r="L125" s="8" t="n"/>
      <c r="M125" s="7" t="n"/>
      <c r="N125" s="8" t="n"/>
      <c r="O125" s="9" t="n"/>
      <c r="P125" s="9" t="n"/>
      <c r="Q125" s="7" t="n"/>
      <c r="R125" s="8" t="n"/>
    </row>
    <row r="126" ht="22" customHeight="1">
      <c r="A126" s="6" t="n"/>
      <c r="B126" s="7" t="n"/>
      <c r="C126" s="7" t="n"/>
      <c r="D126" s="7" t="n"/>
      <c r="E126" s="8" t="n"/>
      <c r="F126" s="7" t="n"/>
      <c r="G126" s="7" t="n"/>
      <c r="H126" s="8" t="n"/>
      <c r="I126" s="7" t="n"/>
      <c r="J126" s="8" t="n"/>
      <c r="K126" s="7" t="n"/>
      <c r="L126" s="8" t="n"/>
      <c r="M126" s="7" t="n"/>
      <c r="N126" s="8" t="n"/>
      <c r="O126" s="9" t="n"/>
      <c r="P126" s="9" t="n"/>
      <c r="Q126" s="7" t="n"/>
      <c r="R126" s="8" t="n"/>
    </row>
    <row r="127" ht="22" customHeight="1">
      <c r="A127" s="6" t="n"/>
      <c r="B127" s="7" t="n"/>
      <c r="C127" s="7" t="n"/>
      <c r="D127" s="7" t="n"/>
      <c r="E127" s="8" t="n"/>
      <c r="F127" s="7" t="n"/>
      <c r="G127" s="7" t="n"/>
      <c r="H127" s="8" t="n"/>
      <c r="I127" s="7" t="n"/>
      <c r="J127" s="8" t="n"/>
      <c r="K127" s="7" t="n"/>
      <c r="L127" s="8" t="n"/>
      <c r="M127" s="7" t="n"/>
      <c r="N127" s="8" t="n"/>
      <c r="O127" s="9" t="n"/>
      <c r="P127" s="9" t="n"/>
      <c r="Q127" s="7" t="n"/>
      <c r="R127" s="8" t="n"/>
    </row>
    <row r="128" ht="22" customHeight="1">
      <c r="A128" s="6" t="n"/>
      <c r="B128" s="7" t="n"/>
      <c r="C128" s="7" t="n"/>
      <c r="D128" s="7" t="n"/>
      <c r="E128" s="8" t="n"/>
      <c r="F128" s="7" t="n"/>
      <c r="G128" s="7" t="n"/>
      <c r="H128" s="8" t="n"/>
      <c r="I128" s="7" t="n"/>
      <c r="J128" s="8" t="n"/>
      <c r="K128" s="7" t="n"/>
      <c r="L128" s="8" t="n"/>
      <c r="M128" s="7" t="n"/>
      <c r="N128" s="8" t="n"/>
      <c r="O128" s="9" t="n"/>
      <c r="P128" s="9" t="n"/>
      <c r="Q128" s="7" t="n"/>
      <c r="R128" s="8" t="n"/>
    </row>
    <row r="129" ht="22" customHeight="1">
      <c r="A129" s="6" t="n"/>
      <c r="B129" s="7" t="n"/>
      <c r="C129" s="7" t="n"/>
      <c r="D129" s="7" t="n"/>
      <c r="E129" s="8" t="n"/>
      <c r="F129" s="7" t="n"/>
      <c r="G129" s="7" t="n"/>
      <c r="H129" s="8" t="n"/>
      <c r="I129" s="7" t="n"/>
      <c r="J129" s="8" t="n"/>
      <c r="K129" s="7" t="n"/>
      <c r="L129" s="8" t="n"/>
      <c r="M129" s="7" t="n"/>
      <c r="N129" s="8" t="n"/>
      <c r="O129" s="9" t="n"/>
      <c r="P129" s="9" t="n"/>
      <c r="Q129" s="7" t="n"/>
      <c r="R129" s="8" t="n"/>
    </row>
    <row r="130" ht="22" customHeight="1">
      <c r="A130" s="6" t="n"/>
      <c r="B130" s="7" t="n"/>
      <c r="C130" s="7" t="n"/>
      <c r="D130" s="7" t="n"/>
      <c r="E130" s="8" t="n"/>
      <c r="F130" s="7" t="n"/>
      <c r="G130" s="7" t="n"/>
      <c r="H130" s="8" t="n"/>
      <c r="I130" s="7" t="n"/>
      <c r="J130" s="8" t="n"/>
      <c r="K130" s="7" t="n"/>
      <c r="L130" s="8" t="n"/>
      <c r="M130" s="7" t="n"/>
      <c r="N130" s="8" t="n"/>
      <c r="O130" s="9" t="n"/>
      <c r="P130" s="9" t="n"/>
      <c r="Q130" s="7" t="n"/>
      <c r="R130" s="8" t="n"/>
    </row>
    <row r="131" ht="22" customHeight="1">
      <c r="A131" s="6" t="n"/>
      <c r="B131" s="7" t="n"/>
      <c r="C131" s="7" t="n"/>
      <c r="D131" s="7" t="n"/>
      <c r="E131" s="8" t="n"/>
      <c r="F131" s="7" t="n"/>
      <c r="G131" s="7" t="n"/>
      <c r="H131" s="8" t="n"/>
      <c r="I131" s="7" t="n"/>
      <c r="J131" s="8" t="n"/>
      <c r="K131" s="7" t="n"/>
      <c r="L131" s="8" t="n"/>
      <c r="M131" s="7" t="n"/>
      <c r="N131" s="8" t="n"/>
      <c r="O131" s="9" t="n"/>
      <c r="P131" s="9" t="n"/>
      <c r="Q131" s="7" t="n"/>
      <c r="R131" s="8" t="n"/>
    </row>
    <row r="132" ht="22" customHeight="1">
      <c r="A132" s="6" t="n"/>
      <c r="B132" s="7" t="n"/>
      <c r="C132" s="7" t="n"/>
      <c r="D132" s="7" t="n"/>
      <c r="E132" s="8" t="n"/>
      <c r="F132" s="7" t="n"/>
      <c r="G132" s="7" t="n"/>
      <c r="H132" s="8" t="n"/>
      <c r="I132" s="7" t="n"/>
      <c r="J132" s="8" t="n"/>
      <c r="K132" s="7" t="n"/>
      <c r="L132" s="8" t="n"/>
      <c r="M132" s="7" t="n"/>
      <c r="N132" s="8" t="n"/>
      <c r="O132" s="9" t="n"/>
      <c r="P132" s="9" t="n"/>
      <c r="Q132" s="7" t="n"/>
      <c r="R132" s="8" t="n"/>
    </row>
    <row r="133" ht="22" customHeight="1">
      <c r="A133" s="6" t="n"/>
      <c r="B133" s="7" t="n"/>
      <c r="C133" s="7" t="n"/>
      <c r="D133" s="7" t="n"/>
      <c r="E133" s="8" t="n"/>
      <c r="F133" s="7" t="n"/>
      <c r="G133" s="7" t="n"/>
      <c r="H133" s="8" t="n"/>
      <c r="I133" s="7" t="n"/>
      <c r="J133" s="8" t="n"/>
      <c r="K133" s="7" t="n"/>
      <c r="L133" s="8" t="n"/>
      <c r="M133" s="7" t="n"/>
      <c r="N133" s="8" t="n"/>
      <c r="O133" s="9" t="n"/>
      <c r="P133" s="9" t="n"/>
      <c r="Q133" s="7" t="n"/>
      <c r="R133" s="8" t="n"/>
    </row>
    <row r="134" ht="22" customHeight="1">
      <c r="A134" s="6" t="n"/>
      <c r="B134" s="7" t="n"/>
      <c r="C134" s="7" t="n"/>
      <c r="D134" s="7" t="n"/>
      <c r="E134" s="8" t="n"/>
      <c r="F134" s="7" t="n"/>
      <c r="G134" s="7" t="n"/>
      <c r="H134" s="8" t="n"/>
      <c r="I134" s="7" t="n"/>
      <c r="J134" s="8" t="n"/>
      <c r="K134" s="7" t="n"/>
      <c r="L134" s="8" t="n"/>
      <c r="M134" s="7" t="n"/>
      <c r="N134" s="8" t="n"/>
      <c r="O134" s="9" t="n"/>
      <c r="P134" s="9" t="n"/>
      <c r="Q134" s="7" t="n"/>
      <c r="R134" s="8" t="n"/>
    </row>
    <row r="135" ht="22" customHeight="1">
      <c r="A135" s="6" t="n"/>
      <c r="B135" s="7" t="n"/>
      <c r="C135" s="7" t="n"/>
      <c r="D135" s="7" t="n"/>
      <c r="E135" s="8" t="n"/>
      <c r="F135" s="7" t="n"/>
      <c r="G135" s="7" t="n"/>
      <c r="H135" s="8" t="n"/>
      <c r="I135" s="7" t="n"/>
      <c r="J135" s="8" t="n"/>
      <c r="K135" s="7" t="n"/>
      <c r="L135" s="8" t="n"/>
      <c r="M135" s="7" t="n"/>
      <c r="N135" s="8" t="n"/>
      <c r="O135" s="9" t="n"/>
      <c r="P135" s="9" t="n"/>
      <c r="Q135" s="7" t="n"/>
      <c r="R135" s="8" t="n"/>
    </row>
    <row r="136" ht="22" customHeight="1">
      <c r="A136" s="6" t="n"/>
      <c r="B136" s="7" t="n"/>
      <c r="C136" s="7" t="n"/>
      <c r="D136" s="7" t="n"/>
      <c r="E136" s="8" t="n"/>
      <c r="F136" s="7" t="n"/>
      <c r="G136" s="7" t="n"/>
      <c r="H136" s="8" t="n"/>
      <c r="I136" s="7" t="n"/>
      <c r="J136" s="8" t="n"/>
      <c r="K136" s="7" t="n"/>
      <c r="L136" s="8" t="n"/>
      <c r="M136" s="7" t="n"/>
      <c r="N136" s="8" t="n"/>
      <c r="O136" s="9" t="n"/>
      <c r="P136" s="9" t="n"/>
      <c r="Q136" s="7" t="n"/>
      <c r="R136" s="8" t="n"/>
    </row>
    <row r="137" ht="22" customHeight="1">
      <c r="A137" s="6" t="n"/>
      <c r="B137" s="7" t="n"/>
      <c r="C137" s="7" t="n"/>
      <c r="D137" s="7" t="n"/>
      <c r="E137" s="8" t="n"/>
      <c r="F137" s="7" t="n"/>
      <c r="G137" s="7" t="n"/>
      <c r="H137" s="8" t="n"/>
      <c r="I137" s="7" t="n"/>
      <c r="J137" s="8" t="n"/>
      <c r="K137" s="7" t="n"/>
      <c r="L137" s="8" t="n"/>
      <c r="M137" s="7" t="n"/>
      <c r="N137" s="8" t="n"/>
      <c r="O137" s="9" t="n"/>
      <c r="P137" s="9" t="n"/>
      <c r="Q137" s="7" t="n"/>
      <c r="R137" s="8" t="n"/>
    </row>
    <row r="138" ht="22" customHeight="1">
      <c r="A138" s="6" t="n"/>
      <c r="B138" s="7" t="n"/>
      <c r="C138" s="7" t="n"/>
      <c r="D138" s="7" t="n"/>
      <c r="E138" s="8" t="n"/>
      <c r="F138" s="7" t="n"/>
      <c r="G138" s="7" t="n"/>
      <c r="H138" s="8" t="n"/>
      <c r="I138" s="7" t="n"/>
      <c r="J138" s="8" t="n"/>
      <c r="K138" s="7" t="n"/>
      <c r="L138" s="8" t="n"/>
      <c r="M138" s="7" t="n"/>
      <c r="N138" s="8" t="n"/>
      <c r="O138" s="9" t="n"/>
      <c r="P138" s="9" t="n"/>
      <c r="Q138" s="7" t="n"/>
      <c r="R138" s="8" t="n"/>
    </row>
    <row r="139" ht="22" customHeight="1">
      <c r="A139" s="6" t="n"/>
      <c r="B139" s="7" t="n"/>
      <c r="C139" s="7" t="n"/>
      <c r="D139" s="7" t="n"/>
      <c r="E139" s="8" t="n"/>
      <c r="F139" s="7" t="n"/>
      <c r="G139" s="7" t="n"/>
      <c r="H139" s="8" t="n"/>
      <c r="I139" s="7" t="n"/>
      <c r="J139" s="8" t="n"/>
      <c r="K139" s="7" t="n"/>
      <c r="L139" s="8" t="n"/>
      <c r="M139" s="7" t="n"/>
      <c r="N139" s="8" t="n"/>
      <c r="O139" s="9" t="n"/>
      <c r="P139" s="9" t="n"/>
      <c r="Q139" s="7" t="n"/>
      <c r="R139" s="8" t="n"/>
    </row>
    <row r="140" ht="22" customHeight="1">
      <c r="A140" s="6" t="n"/>
      <c r="B140" s="7" t="n"/>
      <c r="C140" s="7" t="n"/>
      <c r="D140" s="7" t="n"/>
      <c r="E140" s="8" t="n"/>
      <c r="F140" s="7" t="n"/>
      <c r="G140" s="7" t="n"/>
      <c r="H140" s="8" t="n"/>
      <c r="I140" s="7" t="n"/>
      <c r="J140" s="8" t="n"/>
      <c r="K140" s="7" t="n"/>
      <c r="L140" s="8" t="n"/>
      <c r="M140" s="7" t="n"/>
      <c r="N140" s="8" t="n"/>
      <c r="O140" s="9" t="n"/>
      <c r="P140" s="9" t="n"/>
      <c r="Q140" s="7" t="n"/>
      <c r="R140" s="8" t="n"/>
    </row>
    <row r="141" ht="22" customHeight="1">
      <c r="A141" s="6" t="n"/>
      <c r="B141" s="7" t="n"/>
      <c r="C141" s="7" t="n"/>
      <c r="D141" s="7" t="n"/>
      <c r="E141" s="8" t="n"/>
      <c r="F141" s="7" t="n"/>
      <c r="G141" s="7" t="n"/>
      <c r="H141" s="8" t="n"/>
      <c r="I141" s="7" t="n"/>
      <c r="J141" s="8" t="n"/>
      <c r="K141" s="7" t="n"/>
      <c r="L141" s="8" t="n"/>
      <c r="M141" s="7" t="n"/>
      <c r="N141" s="8" t="n"/>
      <c r="O141" s="9" t="n"/>
      <c r="P141" s="9" t="n"/>
      <c r="Q141" s="7" t="n"/>
      <c r="R141" s="8" t="n"/>
    </row>
    <row r="142" ht="22" customHeight="1">
      <c r="A142" s="6" t="n"/>
      <c r="B142" s="7" t="n"/>
      <c r="C142" s="7" t="n"/>
      <c r="D142" s="7" t="n"/>
      <c r="E142" s="8" t="n"/>
      <c r="F142" s="7" t="n"/>
      <c r="G142" s="7" t="n"/>
      <c r="H142" s="8" t="n"/>
      <c r="I142" s="7" t="n"/>
      <c r="J142" s="8" t="n"/>
      <c r="K142" s="7" t="n"/>
      <c r="L142" s="8" t="n"/>
      <c r="M142" s="7" t="n"/>
      <c r="N142" s="8" t="n"/>
      <c r="O142" s="9" t="n"/>
      <c r="P142" s="9" t="n"/>
      <c r="Q142" s="7" t="n"/>
      <c r="R142" s="8" t="n"/>
    </row>
    <row r="143" ht="22" customHeight="1">
      <c r="A143" s="6" t="n"/>
      <c r="B143" s="7" t="n"/>
      <c r="C143" s="7" t="n"/>
      <c r="D143" s="7" t="n"/>
      <c r="E143" s="8" t="n"/>
      <c r="F143" s="7" t="n"/>
      <c r="G143" s="7" t="n"/>
      <c r="H143" s="8" t="n"/>
      <c r="I143" s="7" t="n"/>
      <c r="J143" s="8" t="n"/>
      <c r="K143" s="7" t="n"/>
      <c r="L143" s="8" t="n"/>
      <c r="M143" s="7" t="n"/>
      <c r="N143" s="8" t="n"/>
      <c r="O143" s="9" t="n"/>
      <c r="P143" s="9" t="n"/>
      <c r="Q143" s="7" t="n"/>
      <c r="R143" s="8" t="n"/>
    </row>
    <row r="144" ht="22" customHeight="1">
      <c r="A144" s="6" t="n"/>
      <c r="B144" s="7" t="n"/>
      <c r="C144" s="7" t="n"/>
      <c r="D144" s="7" t="n"/>
      <c r="E144" s="8" t="n"/>
      <c r="F144" s="7" t="n"/>
      <c r="G144" s="7" t="n"/>
      <c r="H144" s="8" t="n"/>
      <c r="I144" s="7" t="n"/>
      <c r="J144" s="8" t="n"/>
      <c r="K144" s="7" t="n"/>
      <c r="L144" s="8" t="n"/>
      <c r="M144" s="7" t="n"/>
      <c r="N144" s="8" t="n"/>
      <c r="O144" s="9" t="n"/>
      <c r="P144" s="9" t="n"/>
      <c r="Q144" s="7" t="n"/>
      <c r="R144" s="8" t="n"/>
    </row>
    <row r="145" ht="22" customHeight="1">
      <c r="A145" s="6" t="n"/>
      <c r="B145" s="7" t="n"/>
      <c r="C145" s="7" t="n"/>
      <c r="D145" s="7" t="n"/>
      <c r="E145" s="8" t="n"/>
      <c r="F145" s="7" t="n"/>
      <c r="G145" s="7" t="n"/>
      <c r="H145" s="8" t="n"/>
      <c r="I145" s="7" t="n"/>
      <c r="J145" s="8" t="n"/>
      <c r="K145" s="7" t="n"/>
      <c r="L145" s="8" t="n"/>
      <c r="M145" s="7" t="n"/>
      <c r="N145" s="8" t="n"/>
      <c r="O145" s="9" t="n"/>
      <c r="P145" s="9" t="n"/>
      <c r="Q145" s="7" t="n"/>
      <c r="R145" s="8" t="n"/>
    </row>
    <row r="146" ht="22" customHeight="1">
      <c r="A146" s="6" t="n"/>
      <c r="B146" s="7" t="n"/>
      <c r="C146" s="7" t="n"/>
      <c r="D146" s="7" t="n"/>
      <c r="E146" s="8" t="n"/>
      <c r="F146" s="7" t="n"/>
      <c r="G146" s="7" t="n"/>
      <c r="H146" s="8" t="n"/>
      <c r="I146" s="7" t="n"/>
      <c r="J146" s="8" t="n"/>
      <c r="K146" s="7" t="n"/>
      <c r="L146" s="8" t="n"/>
      <c r="M146" s="7" t="n"/>
      <c r="N146" s="8" t="n"/>
      <c r="O146" s="9" t="n"/>
      <c r="P146" s="9" t="n"/>
      <c r="Q146" s="7" t="n"/>
      <c r="R146" s="8" t="n"/>
    </row>
    <row r="147" ht="22" customHeight="1">
      <c r="A147" s="6" t="n"/>
      <c r="B147" s="7" t="n"/>
      <c r="C147" s="7" t="n"/>
      <c r="D147" s="7" t="n"/>
      <c r="E147" s="8" t="n"/>
      <c r="F147" s="7" t="n"/>
      <c r="G147" s="7" t="n"/>
      <c r="H147" s="8" t="n"/>
      <c r="I147" s="7" t="n"/>
      <c r="J147" s="8" t="n"/>
      <c r="K147" s="7" t="n"/>
      <c r="L147" s="8" t="n"/>
      <c r="M147" s="7" t="n"/>
      <c r="N147" s="8" t="n"/>
      <c r="O147" s="9" t="n"/>
      <c r="P147" s="9" t="n"/>
      <c r="Q147" s="7" t="n"/>
      <c r="R147" s="8" t="n"/>
    </row>
    <row r="148" ht="22" customHeight="1">
      <c r="A148" s="6" t="n"/>
      <c r="B148" s="7" t="n"/>
      <c r="C148" s="7" t="n"/>
      <c r="D148" s="7" t="n"/>
      <c r="E148" s="8" t="n"/>
      <c r="F148" s="7" t="n"/>
      <c r="G148" s="7" t="n"/>
      <c r="H148" s="8" t="n"/>
      <c r="I148" s="7" t="n"/>
      <c r="J148" s="8" t="n"/>
      <c r="K148" s="7" t="n"/>
      <c r="L148" s="8" t="n"/>
      <c r="M148" s="7" t="n"/>
      <c r="N148" s="8" t="n"/>
      <c r="O148" s="9" t="n"/>
      <c r="P148" s="9" t="n"/>
      <c r="Q148" s="7" t="n"/>
      <c r="R148" s="8" t="n"/>
    </row>
    <row r="149" ht="22" customHeight="1">
      <c r="A149" s="6" t="n"/>
      <c r="B149" s="7" t="n"/>
      <c r="C149" s="7" t="n"/>
      <c r="D149" s="7" t="n"/>
      <c r="E149" s="8" t="n"/>
      <c r="F149" s="7" t="n"/>
      <c r="G149" s="7" t="n"/>
      <c r="H149" s="8" t="n"/>
      <c r="I149" s="7" t="n"/>
      <c r="J149" s="8" t="n"/>
      <c r="K149" s="7" t="n"/>
      <c r="L149" s="8" t="n"/>
      <c r="M149" s="7" t="n"/>
      <c r="N149" s="8" t="n"/>
      <c r="O149" s="9" t="n"/>
      <c r="P149" s="9" t="n"/>
      <c r="Q149" s="7" t="n"/>
      <c r="R149" s="8" t="n"/>
    </row>
    <row r="150" ht="22" customHeight="1">
      <c r="A150" s="6" t="n"/>
      <c r="B150" s="7" t="n"/>
      <c r="C150" s="7" t="n"/>
      <c r="D150" s="7" t="n"/>
      <c r="E150" s="8" t="n"/>
      <c r="F150" s="7" t="n"/>
      <c r="G150" s="7" t="n"/>
      <c r="H150" s="8" t="n"/>
      <c r="I150" s="7" t="n"/>
      <c r="J150" s="8" t="n"/>
      <c r="K150" s="7" t="n"/>
      <c r="L150" s="8" t="n"/>
      <c r="M150" s="7" t="n"/>
      <c r="N150" s="8" t="n"/>
      <c r="O150" s="9" t="n"/>
      <c r="P150" s="9" t="n"/>
      <c r="Q150" s="7" t="n"/>
      <c r="R150" s="8" t="n"/>
    </row>
    <row r="151" ht="22" customHeight="1">
      <c r="A151" s="6" t="n"/>
      <c r="B151" s="7" t="n"/>
      <c r="C151" s="7" t="n"/>
      <c r="D151" s="7" t="n"/>
      <c r="E151" s="8" t="n"/>
      <c r="F151" s="7" t="n"/>
      <c r="G151" s="7" t="n"/>
      <c r="H151" s="8" t="n"/>
      <c r="I151" s="7" t="n"/>
      <c r="J151" s="8" t="n"/>
      <c r="K151" s="7" t="n"/>
      <c r="L151" s="8" t="n"/>
      <c r="M151" s="7" t="n"/>
      <c r="N151" s="8" t="n"/>
      <c r="O151" s="9" t="n"/>
      <c r="P151" s="9" t="n"/>
      <c r="Q151" s="7" t="n"/>
      <c r="R151" s="8" t="n"/>
    </row>
    <row r="152" ht="22" customHeight="1">
      <c r="A152" s="6" t="n"/>
      <c r="B152" s="7" t="n"/>
      <c r="C152" s="7" t="n"/>
      <c r="D152" s="7" t="n"/>
      <c r="E152" s="8" t="n"/>
      <c r="F152" s="7" t="n"/>
      <c r="G152" s="7" t="n"/>
      <c r="H152" s="8" t="n"/>
      <c r="I152" s="7" t="n"/>
      <c r="J152" s="8" t="n"/>
      <c r="K152" s="7" t="n"/>
      <c r="L152" s="8" t="n"/>
      <c r="M152" s="7" t="n"/>
      <c r="N152" s="8" t="n"/>
      <c r="O152" s="9" t="n"/>
      <c r="P152" s="9" t="n"/>
      <c r="Q152" s="7" t="n"/>
      <c r="R152" s="8" t="n"/>
    </row>
    <row r="153" ht="22" customHeight="1">
      <c r="A153" s="6" t="n"/>
      <c r="B153" s="7" t="n"/>
      <c r="C153" s="7" t="n"/>
      <c r="D153" s="7" t="n"/>
      <c r="E153" s="8" t="n"/>
      <c r="F153" s="7" t="n"/>
      <c r="G153" s="7" t="n"/>
      <c r="H153" s="8" t="n"/>
      <c r="I153" s="7" t="n"/>
      <c r="J153" s="8" t="n"/>
      <c r="K153" s="7" t="n"/>
      <c r="L153" s="8" t="n"/>
      <c r="M153" s="7" t="n"/>
      <c r="N153" s="8" t="n"/>
      <c r="O153" s="9" t="n"/>
      <c r="P153" s="9" t="n"/>
      <c r="Q153" s="7" t="n"/>
      <c r="R153" s="8" t="n"/>
    </row>
    <row r="154" ht="22" customHeight="1">
      <c r="A154" s="6" t="n"/>
      <c r="B154" s="7" t="n"/>
      <c r="C154" s="7" t="n"/>
      <c r="D154" s="7" t="n"/>
      <c r="E154" s="8" t="n"/>
      <c r="F154" s="7" t="n"/>
      <c r="G154" s="7" t="n"/>
      <c r="H154" s="8" t="n"/>
      <c r="I154" s="7" t="n"/>
      <c r="J154" s="8" t="n"/>
      <c r="K154" s="7" t="n"/>
      <c r="L154" s="8" t="n"/>
      <c r="M154" s="7" t="n"/>
      <c r="N154" s="8" t="n"/>
      <c r="O154" s="9" t="n"/>
      <c r="P154" s="9" t="n"/>
      <c r="Q154" s="7" t="n"/>
      <c r="R154" s="8" t="n"/>
    </row>
    <row r="155" ht="22" customHeight="1">
      <c r="A155" s="6" t="n"/>
      <c r="B155" s="7" t="n"/>
      <c r="C155" s="7" t="n"/>
      <c r="D155" s="7" t="n"/>
      <c r="E155" s="8" t="n"/>
      <c r="F155" s="7" t="n"/>
      <c r="G155" s="7" t="n"/>
      <c r="H155" s="8" t="n"/>
      <c r="I155" s="7" t="n"/>
      <c r="J155" s="8" t="n"/>
      <c r="K155" s="7" t="n"/>
      <c r="L155" s="8" t="n"/>
      <c r="M155" s="7" t="n"/>
      <c r="N155" s="8" t="n"/>
      <c r="O155" s="9" t="n"/>
      <c r="P155" s="9" t="n"/>
      <c r="Q155" s="7" t="n"/>
      <c r="R155" s="8" t="n"/>
    </row>
    <row r="156" ht="22" customHeight="1">
      <c r="A156" s="6" t="n"/>
      <c r="B156" s="7" t="n"/>
      <c r="C156" s="7" t="n"/>
      <c r="D156" s="7" t="n"/>
      <c r="E156" s="8" t="n"/>
      <c r="F156" s="7" t="n"/>
      <c r="G156" s="7" t="n"/>
      <c r="H156" s="8" t="n"/>
      <c r="I156" s="7" t="n"/>
      <c r="J156" s="8" t="n"/>
      <c r="K156" s="7" t="n"/>
      <c r="L156" s="8" t="n"/>
      <c r="M156" s="7" t="n"/>
      <c r="N156" s="8" t="n"/>
      <c r="O156" s="9" t="n"/>
      <c r="P156" s="9" t="n"/>
      <c r="Q156" s="7" t="n"/>
      <c r="R156" s="8" t="n"/>
    </row>
    <row r="157" ht="22" customHeight="1">
      <c r="A157" s="6" t="n"/>
      <c r="B157" s="7" t="n"/>
      <c r="C157" s="7" t="n"/>
      <c r="D157" s="7" t="n"/>
      <c r="E157" s="8" t="n"/>
      <c r="F157" s="7" t="n"/>
      <c r="G157" s="7" t="n"/>
      <c r="H157" s="8" t="n"/>
      <c r="I157" s="7" t="n"/>
      <c r="J157" s="8" t="n"/>
      <c r="K157" s="7" t="n"/>
      <c r="L157" s="8" t="n"/>
      <c r="M157" s="7" t="n"/>
      <c r="N157" s="8" t="n"/>
      <c r="O157" s="9" t="n"/>
      <c r="P157" s="9" t="n"/>
      <c r="Q157" s="7" t="n"/>
      <c r="R157" s="8" t="n"/>
    </row>
    <row r="158" ht="22" customHeight="1">
      <c r="A158" s="6" t="n"/>
      <c r="B158" s="7" t="n"/>
      <c r="C158" s="7" t="n"/>
      <c r="D158" s="7" t="n"/>
      <c r="E158" s="8" t="n"/>
      <c r="F158" s="7" t="n"/>
      <c r="G158" s="7" t="n"/>
      <c r="H158" s="8" t="n"/>
      <c r="I158" s="7" t="n"/>
      <c r="J158" s="8" t="n"/>
      <c r="K158" s="7" t="n"/>
      <c r="L158" s="8" t="n"/>
      <c r="M158" s="7" t="n"/>
      <c r="N158" s="8" t="n"/>
      <c r="O158" s="9" t="n"/>
      <c r="P158" s="9" t="n"/>
      <c r="Q158" s="7" t="n"/>
      <c r="R158" s="8" t="n"/>
    </row>
    <row r="159" ht="22" customHeight="1">
      <c r="A159" s="6" t="n"/>
      <c r="B159" s="7" t="n"/>
      <c r="C159" s="7" t="n"/>
      <c r="D159" s="7" t="n"/>
      <c r="E159" s="8" t="n"/>
      <c r="F159" s="7" t="n"/>
      <c r="G159" s="7" t="n"/>
      <c r="H159" s="8" t="n"/>
      <c r="I159" s="7" t="n"/>
      <c r="J159" s="8" t="n"/>
      <c r="K159" s="7" t="n"/>
      <c r="L159" s="8" t="n"/>
      <c r="M159" s="7" t="n"/>
      <c r="N159" s="8" t="n"/>
      <c r="O159" s="9" t="n"/>
      <c r="P159" s="9" t="n"/>
      <c r="Q159" s="7" t="n"/>
      <c r="R159" s="8" t="n"/>
    </row>
    <row r="160" ht="22" customHeight="1">
      <c r="A160" s="6" t="n"/>
      <c r="B160" s="7" t="n"/>
      <c r="C160" s="7" t="n"/>
      <c r="D160" s="7" t="n"/>
      <c r="E160" s="8" t="n"/>
      <c r="F160" s="7" t="n"/>
      <c r="G160" s="7" t="n"/>
      <c r="H160" s="8" t="n"/>
      <c r="I160" s="7" t="n"/>
      <c r="J160" s="8" t="n"/>
      <c r="K160" s="7" t="n"/>
      <c r="L160" s="8" t="n"/>
      <c r="M160" s="7" t="n"/>
      <c r="N160" s="8" t="n"/>
      <c r="O160" s="9" t="n"/>
      <c r="P160" s="9" t="n"/>
      <c r="Q160" s="7" t="n"/>
      <c r="R160" s="8" t="n"/>
    </row>
    <row r="161" ht="22" customHeight="1">
      <c r="A161" s="6" t="n"/>
      <c r="B161" s="7" t="n"/>
      <c r="C161" s="7" t="n"/>
      <c r="D161" s="7" t="n"/>
      <c r="E161" s="8" t="n"/>
      <c r="F161" s="7" t="n"/>
      <c r="G161" s="7" t="n"/>
      <c r="H161" s="8" t="n"/>
      <c r="I161" s="7" t="n"/>
      <c r="J161" s="8" t="n"/>
      <c r="K161" s="7" t="n"/>
      <c r="L161" s="8" t="n"/>
      <c r="M161" s="7" t="n"/>
      <c r="N161" s="8" t="n"/>
      <c r="O161" s="9" t="n"/>
      <c r="P161" s="9" t="n"/>
      <c r="Q161" s="7" t="n"/>
      <c r="R161" s="8" t="n"/>
    </row>
    <row r="162" ht="22" customHeight="1">
      <c r="A162" s="6" t="n"/>
      <c r="B162" s="7" t="n"/>
      <c r="C162" s="7" t="n"/>
      <c r="D162" s="7" t="n"/>
      <c r="E162" s="8" t="n"/>
      <c r="F162" s="7" t="n"/>
      <c r="G162" s="7" t="n"/>
      <c r="H162" s="8" t="n"/>
      <c r="I162" s="7" t="n"/>
      <c r="J162" s="8" t="n"/>
      <c r="K162" s="7" t="n"/>
      <c r="L162" s="8" t="n"/>
      <c r="M162" s="7" t="n"/>
      <c r="N162" s="8" t="n"/>
      <c r="O162" s="9" t="n"/>
      <c r="P162" s="9" t="n"/>
      <c r="Q162" s="7" t="n"/>
      <c r="R162" s="8" t="n"/>
    </row>
    <row r="163" ht="22" customHeight="1">
      <c r="A163" s="6" t="n"/>
      <c r="B163" s="7" t="n"/>
      <c r="C163" s="7" t="n"/>
      <c r="D163" s="7" t="n"/>
      <c r="E163" s="8" t="n"/>
      <c r="F163" s="7" t="n"/>
      <c r="G163" s="7" t="n"/>
      <c r="H163" s="8" t="n"/>
      <c r="I163" s="7" t="n"/>
      <c r="J163" s="8" t="n"/>
      <c r="K163" s="7" t="n"/>
      <c r="L163" s="8" t="n"/>
      <c r="M163" s="7" t="n"/>
      <c r="N163" s="8" t="n"/>
      <c r="O163" s="9" t="n"/>
      <c r="P163" s="9" t="n"/>
      <c r="Q163" s="7" t="n"/>
      <c r="R163" s="8" t="n"/>
    </row>
    <row r="164" ht="22" customHeight="1">
      <c r="A164" s="6" t="n"/>
      <c r="B164" s="7" t="n"/>
      <c r="C164" s="7" t="n"/>
      <c r="D164" s="7" t="n"/>
      <c r="E164" s="8" t="n"/>
      <c r="F164" s="7" t="n"/>
      <c r="G164" s="7" t="n"/>
      <c r="H164" s="8" t="n"/>
      <c r="I164" s="7" t="n"/>
      <c r="J164" s="8" t="n"/>
      <c r="K164" s="7" t="n"/>
      <c r="L164" s="8" t="n"/>
      <c r="M164" s="7" t="n"/>
      <c r="N164" s="8" t="n"/>
      <c r="O164" s="9" t="n"/>
      <c r="P164" s="9" t="n"/>
      <c r="Q164" s="7" t="n"/>
      <c r="R164" s="8" t="n"/>
    </row>
    <row r="165" ht="22" customHeight="1">
      <c r="A165" s="6" t="n"/>
      <c r="B165" s="7" t="n"/>
      <c r="C165" s="7" t="n"/>
      <c r="D165" s="7" t="n"/>
      <c r="E165" s="8" t="n"/>
      <c r="F165" s="7" t="n"/>
      <c r="G165" s="7" t="n"/>
      <c r="H165" s="8" t="n"/>
      <c r="I165" s="7" t="n"/>
      <c r="J165" s="8" t="n"/>
      <c r="K165" s="7" t="n"/>
      <c r="L165" s="8" t="n"/>
      <c r="M165" s="7" t="n"/>
      <c r="N165" s="8" t="n"/>
      <c r="O165" s="9" t="n"/>
      <c r="P165" s="9" t="n"/>
      <c r="Q165" s="7" t="n"/>
      <c r="R165" s="8" t="n"/>
    </row>
    <row r="166" ht="22" customHeight="1">
      <c r="A166" s="6" t="n"/>
      <c r="B166" s="7" t="n"/>
      <c r="C166" s="7" t="n"/>
      <c r="D166" s="7" t="n"/>
      <c r="E166" s="8" t="n"/>
      <c r="F166" s="7" t="n"/>
      <c r="G166" s="7" t="n"/>
      <c r="H166" s="8" t="n"/>
      <c r="I166" s="7" t="n"/>
      <c r="J166" s="8" t="n"/>
      <c r="K166" s="7" t="n"/>
      <c r="L166" s="8" t="n"/>
      <c r="M166" s="7" t="n"/>
      <c r="N166" s="8" t="n"/>
      <c r="O166" s="9" t="n"/>
      <c r="P166" s="9" t="n"/>
      <c r="Q166" s="7" t="n"/>
      <c r="R166" s="8" t="n"/>
    </row>
    <row r="167" ht="22" customHeight="1">
      <c r="A167" s="6" t="n"/>
      <c r="B167" s="7" t="n"/>
      <c r="C167" s="7" t="n"/>
      <c r="D167" s="7" t="n"/>
      <c r="E167" s="8" t="n"/>
      <c r="F167" s="7" t="n"/>
      <c r="G167" s="7" t="n"/>
      <c r="H167" s="8" t="n"/>
      <c r="I167" s="7" t="n"/>
      <c r="J167" s="8" t="n"/>
      <c r="K167" s="7" t="n"/>
      <c r="L167" s="8" t="n"/>
      <c r="M167" s="7" t="n"/>
      <c r="N167" s="8" t="n"/>
      <c r="O167" s="9" t="n"/>
      <c r="P167" s="9" t="n"/>
      <c r="Q167" s="7" t="n"/>
      <c r="R167" s="8" t="n"/>
    </row>
    <row r="168" ht="22" customHeight="1">
      <c r="A168" s="6" t="n"/>
      <c r="B168" s="7" t="n"/>
      <c r="C168" s="7" t="n"/>
      <c r="D168" s="7" t="n"/>
      <c r="E168" s="8" t="n"/>
      <c r="F168" s="7" t="n"/>
      <c r="G168" s="7" t="n"/>
      <c r="H168" s="8" t="n"/>
      <c r="I168" s="7" t="n"/>
      <c r="J168" s="8" t="n"/>
      <c r="K168" s="7" t="n"/>
      <c r="L168" s="8" t="n"/>
      <c r="M168" s="7" t="n"/>
      <c r="N168" s="8" t="n"/>
      <c r="O168" s="9" t="n"/>
      <c r="P168" s="9" t="n"/>
      <c r="Q168" s="7" t="n"/>
      <c r="R168" s="8" t="n"/>
    </row>
    <row r="169" ht="22" customHeight="1">
      <c r="A169" s="6" t="n"/>
      <c r="B169" s="7" t="n"/>
      <c r="C169" s="7" t="n"/>
      <c r="D169" s="7" t="n"/>
      <c r="E169" s="8" t="n"/>
      <c r="F169" s="7" t="n"/>
      <c r="G169" s="7" t="n"/>
      <c r="H169" s="8" t="n"/>
      <c r="I169" s="7" t="n"/>
      <c r="J169" s="8" t="n"/>
      <c r="K169" s="7" t="n"/>
      <c r="L169" s="8" t="n"/>
      <c r="M169" s="7" t="n"/>
      <c r="N169" s="8" t="n"/>
      <c r="O169" s="9" t="n"/>
      <c r="P169" s="9" t="n"/>
      <c r="Q169" s="7" t="n"/>
      <c r="R169" s="8" t="n"/>
    </row>
    <row r="170" ht="22" customHeight="1">
      <c r="A170" s="6" t="n"/>
      <c r="B170" s="7" t="n"/>
      <c r="C170" s="7" t="n"/>
      <c r="D170" s="7" t="n"/>
      <c r="E170" s="8" t="n"/>
      <c r="F170" s="7" t="n"/>
      <c r="G170" s="7" t="n"/>
      <c r="H170" s="8" t="n"/>
      <c r="I170" s="7" t="n"/>
      <c r="J170" s="8" t="n"/>
      <c r="K170" s="7" t="n"/>
      <c r="L170" s="8" t="n"/>
      <c r="M170" s="7" t="n"/>
      <c r="N170" s="8" t="n"/>
      <c r="O170" s="9" t="n"/>
      <c r="P170" s="9" t="n"/>
      <c r="Q170" s="7" t="n"/>
      <c r="R170" s="8" t="n"/>
    </row>
    <row r="171" ht="22" customHeight="1">
      <c r="A171" s="6" t="n"/>
      <c r="B171" s="7" t="n"/>
      <c r="C171" s="7" t="n"/>
      <c r="D171" s="7" t="n"/>
      <c r="E171" s="8" t="n"/>
      <c r="F171" s="7" t="n"/>
      <c r="G171" s="7" t="n"/>
      <c r="H171" s="8" t="n"/>
      <c r="I171" s="7" t="n"/>
      <c r="J171" s="8" t="n"/>
      <c r="K171" s="7" t="n"/>
      <c r="L171" s="8" t="n"/>
      <c r="M171" s="7" t="n"/>
      <c r="N171" s="8" t="n"/>
      <c r="O171" s="9" t="n"/>
      <c r="P171" s="9" t="n"/>
      <c r="Q171" s="7" t="n"/>
      <c r="R171" s="8" t="n"/>
    </row>
    <row r="172" ht="22" customHeight="1">
      <c r="A172" s="6" t="n"/>
      <c r="B172" s="7" t="n"/>
      <c r="C172" s="7" t="n"/>
      <c r="D172" s="7" t="n"/>
      <c r="E172" s="8" t="n"/>
      <c r="F172" s="7" t="n"/>
      <c r="G172" s="7" t="n"/>
      <c r="H172" s="8" t="n"/>
      <c r="I172" s="7" t="n"/>
      <c r="J172" s="8" t="n"/>
      <c r="K172" s="7" t="n"/>
      <c r="L172" s="8" t="n"/>
      <c r="M172" s="7" t="n"/>
      <c r="N172" s="8" t="n"/>
      <c r="O172" s="9" t="n"/>
      <c r="P172" s="9" t="n"/>
      <c r="Q172" s="7" t="n"/>
      <c r="R172" s="8" t="n"/>
    </row>
    <row r="173" ht="22" customHeight="1">
      <c r="A173" s="6" t="n"/>
      <c r="B173" s="7" t="n"/>
      <c r="C173" s="7" t="n"/>
      <c r="D173" s="7" t="n"/>
      <c r="E173" s="8" t="n"/>
      <c r="F173" s="7" t="n"/>
      <c r="G173" s="7" t="n"/>
      <c r="H173" s="8" t="n"/>
      <c r="I173" s="7" t="n"/>
      <c r="J173" s="8" t="n"/>
      <c r="K173" s="7" t="n"/>
      <c r="L173" s="8" t="n"/>
      <c r="M173" s="7" t="n"/>
      <c r="N173" s="8" t="n"/>
      <c r="O173" s="9" t="n"/>
      <c r="P173" s="9" t="n"/>
      <c r="Q173" s="7" t="n"/>
      <c r="R173" s="8" t="n"/>
    </row>
    <row r="174" ht="22" customHeight="1">
      <c r="A174" s="6" t="n"/>
      <c r="B174" s="7" t="n"/>
      <c r="C174" s="7" t="n"/>
      <c r="D174" s="7" t="n"/>
      <c r="E174" s="8" t="n"/>
      <c r="F174" s="7" t="n"/>
      <c r="G174" s="7" t="n"/>
      <c r="H174" s="8" t="n"/>
      <c r="I174" s="7" t="n"/>
      <c r="J174" s="8" t="n"/>
      <c r="K174" s="7" t="n"/>
      <c r="L174" s="8" t="n"/>
      <c r="M174" s="7" t="n"/>
      <c r="N174" s="8" t="n"/>
      <c r="O174" s="9" t="n"/>
      <c r="P174" s="9" t="n"/>
      <c r="Q174" s="7" t="n"/>
      <c r="R174" s="8" t="n"/>
    </row>
    <row r="175" ht="22" customHeight="1">
      <c r="A175" s="6" t="n"/>
      <c r="B175" s="7" t="n"/>
      <c r="C175" s="7" t="n"/>
      <c r="D175" s="7" t="n"/>
      <c r="E175" s="8" t="n"/>
      <c r="F175" s="7" t="n"/>
      <c r="G175" s="7" t="n"/>
      <c r="H175" s="8" t="n"/>
      <c r="I175" s="7" t="n"/>
      <c r="J175" s="8" t="n"/>
      <c r="K175" s="7" t="n"/>
      <c r="L175" s="8" t="n"/>
      <c r="M175" s="7" t="n"/>
      <c r="N175" s="8" t="n"/>
      <c r="O175" s="9" t="n"/>
      <c r="P175" s="9" t="n"/>
      <c r="Q175" s="7" t="n"/>
      <c r="R175" s="8" t="n"/>
    </row>
    <row r="176" ht="22" customHeight="1">
      <c r="A176" s="6" t="n"/>
      <c r="B176" s="7" t="n"/>
      <c r="C176" s="7" t="n"/>
      <c r="D176" s="7" t="n"/>
      <c r="E176" s="8" t="n"/>
      <c r="F176" s="7" t="n"/>
      <c r="G176" s="7" t="n"/>
      <c r="H176" s="8" t="n"/>
      <c r="I176" s="7" t="n"/>
      <c r="J176" s="8" t="n"/>
      <c r="K176" s="7" t="n"/>
      <c r="L176" s="8" t="n"/>
      <c r="M176" s="7" t="n"/>
      <c r="N176" s="8" t="n"/>
      <c r="O176" s="9" t="n"/>
      <c r="P176" s="9" t="n"/>
      <c r="Q176" s="7" t="n"/>
      <c r="R176" s="8" t="n"/>
    </row>
    <row r="177" ht="22" customHeight="1">
      <c r="A177" s="6" t="n"/>
      <c r="B177" s="7" t="n"/>
      <c r="C177" s="7" t="n"/>
      <c r="D177" s="7" t="n"/>
      <c r="E177" s="8" t="n"/>
      <c r="F177" s="7" t="n"/>
      <c r="G177" s="7" t="n"/>
      <c r="H177" s="8" t="n"/>
      <c r="I177" s="7" t="n"/>
      <c r="J177" s="8" t="n"/>
      <c r="K177" s="7" t="n"/>
      <c r="L177" s="8" t="n"/>
      <c r="M177" s="7" t="n"/>
      <c r="N177" s="8" t="n"/>
      <c r="O177" s="9" t="n"/>
      <c r="P177" s="9" t="n"/>
      <c r="Q177" s="7" t="n"/>
      <c r="R177" s="8" t="n"/>
    </row>
    <row r="178" ht="22" customHeight="1">
      <c r="A178" s="6" t="n"/>
      <c r="B178" s="7" t="n"/>
      <c r="C178" s="7" t="n"/>
      <c r="D178" s="7" t="n"/>
      <c r="E178" s="8" t="n"/>
      <c r="F178" s="7" t="n"/>
      <c r="G178" s="7" t="n"/>
      <c r="H178" s="8" t="n"/>
      <c r="I178" s="7" t="n"/>
      <c r="J178" s="8" t="n"/>
      <c r="K178" s="7" t="n"/>
      <c r="L178" s="8" t="n"/>
      <c r="M178" s="7" t="n"/>
      <c r="N178" s="8" t="n"/>
      <c r="O178" s="9" t="n"/>
      <c r="P178" s="9" t="n"/>
      <c r="Q178" s="7" t="n"/>
      <c r="R178" s="8" t="n"/>
    </row>
    <row r="179" ht="22" customHeight="1">
      <c r="A179" s="6" t="n"/>
      <c r="B179" s="7" t="n"/>
      <c r="C179" s="7" t="n"/>
      <c r="D179" s="7" t="n"/>
      <c r="E179" s="8" t="n"/>
      <c r="F179" s="7" t="n"/>
      <c r="G179" s="7" t="n"/>
      <c r="H179" s="8" t="n"/>
      <c r="I179" s="7" t="n"/>
      <c r="J179" s="8" t="n"/>
      <c r="K179" s="7" t="n"/>
      <c r="L179" s="8" t="n"/>
      <c r="M179" s="7" t="n"/>
      <c r="N179" s="8" t="n"/>
      <c r="O179" s="9" t="n"/>
      <c r="P179" s="9" t="n"/>
      <c r="Q179" s="7" t="n"/>
      <c r="R179" s="8" t="n"/>
    </row>
    <row r="180" ht="22" customHeight="1">
      <c r="A180" s="6" t="n"/>
      <c r="B180" s="7" t="n"/>
      <c r="C180" s="7" t="n"/>
      <c r="D180" s="7" t="n"/>
      <c r="E180" s="8" t="n"/>
      <c r="F180" s="7" t="n"/>
      <c r="G180" s="7" t="n"/>
      <c r="H180" s="8" t="n"/>
      <c r="I180" s="7" t="n"/>
      <c r="J180" s="8" t="n"/>
      <c r="K180" s="7" t="n"/>
      <c r="L180" s="8" t="n"/>
      <c r="M180" s="7" t="n"/>
      <c r="N180" s="8" t="n"/>
      <c r="O180" s="9" t="n"/>
      <c r="P180" s="9" t="n"/>
      <c r="Q180" s="7" t="n"/>
      <c r="R180" s="8" t="n"/>
    </row>
    <row r="181" ht="22" customHeight="1">
      <c r="A181" s="6" t="n"/>
      <c r="B181" s="7" t="n"/>
      <c r="C181" s="7" t="n"/>
      <c r="D181" s="7" t="n"/>
      <c r="E181" s="8" t="n"/>
      <c r="F181" s="7" t="n"/>
      <c r="G181" s="7" t="n"/>
      <c r="H181" s="8" t="n"/>
      <c r="I181" s="7" t="n"/>
      <c r="J181" s="8" t="n"/>
      <c r="K181" s="7" t="n"/>
      <c r="L181" s="8" t="n"/>
      <c r="M181" s="7" t="n"/>
      <c r="N181" s="8" t="n"/>
      <c r="O181" s="9" t="n"/>
      <c r="P181" s="9" t="n"/>
      <c r="Q181" s="7" t="n"/>
      <c r="R181" s="8" t="n"/>
    </row>
    <row r="182" ht="22" customHeight="1">
      <c r="A182" s="6" t="n"/>
      <c r="B182" s="7" t="n"/>
      <c r="C182" s="7" t="n"/>
      <c r="D182" s="7" t="n"/>
      <c r="E182" s="8" t="n"/>
      <c r="F182" s="7" t="n"/>
      <c r="G182" s="7" t="n"/>
      <c r="H182" s="8" t="n"/>
      <c r="I182" s="7" t="n"/>
      <c r="J182" s="8" t="n"/>
      <c r="K182" s="7" t="n"/>
      <c r="L182" s="8" t="n"/>
      <c r="M182" s="7" t="n"/>
      <c r="N182" s="8" t="n"/>
      <c r="O182" s="9" t="n"/>
      <c r="P182" s="9" t="n"/>
      <c r="Q182" s="7" t="n"/>
      <c r="R182" s="8" t="n"/>
    </row>
    <row r="183" ht="22" customHeight="1">
      <c r="A183" s="6" t="n"/>
      <c r="B183" s="7" t="n"/>
      <c r="C183" s="7" t="n"/>
      <c r="D183" s="7" t="n"/>
      <c r="E183" s="8" t="n"/>
      <c r="F183" s="7" t="n"/>
      <c r="G183" s="7" t="n"/>
      <c r="H183" s="8" t="n"/>
      <c r="I183" s="7" t="n"/>
      <c r="J183" s="8" t="n"/>
      <c r="K183" s="7" t="n"/>
      <c r="L183" s="8" t="n"/>
      <c r="M183" s="7" t="n"/>
      <c r="N183" s="8" t="n"/>
      <c r="O183" s="9" t="n"/>
      <c r="P183" s="9" t="n"/>
      <c r="Q183" s="7" t="n"/>
      <c r="R183" s="8" t="n"/>
    </row>
    <row r="184" ht="22" customHeight="1">
      <c r="A184" s="6" t="n"/>
      <c r="B184" s="7" t="n"/>
      <c r="C184" s="7" t="n"/>
      <c r="D184" s="7" t="n"/>
      <c r="E184" s="8" t="n"/>
      <c r="F184" s="7" t="n"/>
      <c r="G184" s="7" t="n"/>
      <c r="H184" s="8" t="n"/>
      <c r="I184" s="7" t="n"/>
      <c r="J184" s="8" t="n"/>
      <c r="K184" s="7" t="n"/>
      <c r="L184" s="8" t="n"/>
      <c r="M184" s="7" t="n"/>
      <c r="N184" s="8" t="n"/>
      <c r="O184" s="9" t="n"/>
      <c r="P184" s="9" t="n"/>
      <c r="Q184" s="7" t="n"/>
      <c r="R184" s="8" t="n"/>
    </row>
    <row r="185" ht="22" customHeight="1">
      <c r="A185" s="6" t="n"/>
      <c r="B185" s="7" t="n"/>
      <c r="C185" s="7" t="n"/>
      <c r="D185" s="7" t="n"/>
      <c r="E185" s="8" t="n"/>
      <c r="F185" s="7" t="n"/>
      <c r="G185" s="7" t="n"/>
      <c r="H185" s="8" t="n"/>
      <c r="I185" s="7" t="n"/>
      <c r="J185" s="8" t="n"/>
      <c r="K185" s="7" t="n"/>
      <c r="L185" s="8" t="n"/>
      <c r="M185" s="7" t="n"/>
      <c r="N185" s="8" t="n"/>
      <c r="O185" s="9" t="n"/>
      <c r="P185" s="9" t="n"/>
      <c r="Q185" s="7" t="n"/>
      <c r="R185" s="8" t="n"/>
    </row>
    <row r="186" ht="22" customHeight="1">
      <c r="A186" s="6" t="n"/>
      <c r="B186" s="7" t="n"/>
      <c r="C186" s="7" t="n"/>
      <c r="D186" s="7" t="n"/>
      <c r="E186" s="8" t="n"/>
      <c r="F186" s="7" t="n"/>
      <c r="G186" s="7" t="n"/>
      <c r="H186" s="8" t="n"/>
      <c r="I186" s="7" t="n"/>
      <c r="J186" s="8" t="n"/>
      <c r="K186" s="7" t="n"/>
      <c r="L186" s="8" t="n"/>
      <c r="M186" s="7" t="n"/>
      <c r="N186" s="8" t="n"/>
      <c r="O186" s="9" t="n"/>
      <c r="P186" s="9" t="n"/>
      <c r="Q186" s="7" t="n"/>
      <c r="R186" s="8" t="n"/>
    </row>
    <row r="187" ht="22" customHeight="1">
      <c r="A187" s="6" t="n"/>
      <c r="B187" s="7" t="n"/>
      <c r="C187" s="7" t="n"/>
      <c r="D187" s="7" t="n"/>
      <c r="E187" s="8" t="n"/>
      <c r="F187" s="7" t="n"/>
      <c r="G187" s="7" t="n"/>
      <c r="H187" s="8" t="n"/>
      <c r="I187" s="7" t="n"/>
      <c r="J187" s="8" t="n"/>
      <c r="K187" s="7" t="n"/>
      <c r="L187" s="8" t="n"/>
      <c r="M187" s="7" t="n"/>
      <c r="N187" s="8" t="n"/>
      <c r="O187" s="9" t="n"/>
      <c r="P187" s="9" t="n"/>
      <c r="Q187" s="7" t="n"/>
      <c r="R187" s="8" t="n"/>
    </row>
    <row r="188" ht="22" customHeight="1">
      <c r="A188" s="6" t="n"/>
      <c r="B188" s="7" t="n"/>
      <c r="C188" s="7" t="n"/>
      <c r="D188" s="7" t="n"/>
      <c r="E188" s="8" t="n"/>
      <c r="F188" s="7" t="n"/>
      <c r="G188" s="7" t="n"/>
      <c r="H188" s="8" t="n"/>
      <c r="I188" s="7" t="n"/>
      <c r="J188" s="8" t="n"/>
      <c r="K188" s="7" t="n"/>
      <c r="L188" s="8" t="n"/>
      <c r="M188" s="7" t="n"/>
      <c r="N188" s="8" t="n"/>
      <c r="O188" s="9" t="n"/>
      <c r="P188" s="9" t="n"/>
      <c r="Q188" s="7" t="n"/>
      <c r="R188" s="8" t="n"/>
    </row>
    <row r="189" ht="22" customHeight="1">
      <c r="A189" s="6" t="n"/>
      <c r="B189" s="7" t="n"/>
      <c r="C189" s="7" t="n"/>
      <c r="D189" s="7" t="n"/>
      <c r="E189" s="8" t="n"/>
      <c r="F189" s="7" t="n"/>
      <c r="G189" s="7" t="n"/>
      <c r="H189" s="8" t="n"/>
      <c r="I189" s="7" t="n"/>
      <c r="J189" s="8" t="n"/>
      <c r="K189" s="7" t="n"/>
      <c r="L189" s="8" t="n"/>
      <c r="M189" s="7" t="n"/>
      <c r="N189" s="8" t="n"/>
      <c r="O189" s="9" t="n"/>
      <c r="P189" s="9" t="n"/>
      <c r="Q189" s="7" t="n"/>
      <c r="R189" s="8" t="n"/>
    </row>
    <row r="190" ht="22" customHeight="1">
      <c r="A190" s="6" t="n"/>
      <c r="B190" s="7" t="n"/>
      <c r="C190" s="7" t="n"/>
      <c r="D190" s="7" t="n"/>
      <c r="E190" s="8" t="n"/>
      <c r="F190" s="7" t="n"/>
      <c r="G190" s="7" t="n"/>
      <c r="H190" s="8" t="n"/>
      <c r="I190" s="7" t="n"/>
      <c r="J190" s="8" t="n"/>
      <c r="K190" s="7" t="n"/>
      <c r="L190" s="8" t="n"/>
      <c r="M190" s="7" t="n"/>
      <c r="N190" s="8" t="n"/>
      <c r="O190" s="9" t="n"/>
      <c r="P190" s="9" t="n"/>
      <c r="Q190" s="7" t="n"/>
      <c r="R190" s="8" t="n"/>
    </row>
    <row r="191" ht="22" customHeight="1">
      <c r="A191" s="6" t="n"/>
      <c r="B191" s="7" t="n"/>
      <c r="C191" s="7" t="n"/>
      <c r="D191" s="7" t="n"/>
      <c r="E191" s="8" t="n"/>
      <c r="F191" s="7" t="n"/>
      <c r="G191" s="7" t="n"/>
      <c r="H191" s="8" t="n"/>
      <c r="I191" s="7" t="n"/>
      <c r="J191" s="8" t="n"/>
      <c r="K191" s="7" t="n"/>
      <c r="L191" s="8" t="n"/>
      <c r="M191" s="7" t="n"/>
      <c r="N191" s="8" t="n"/>
      <c r="O191" s="9" t="n"/>
      <c r="P191" s="9" t="n"/>
      <c r="Q191" s="7" t="n"/>
      <c r="R191" s="8" t="n"/>
    </row>
    <row r="192" ht="22" customHeight="1">
      <c r="A192" s="6" t="n"/>
      <c r="B192" s="7" t="n"/>
      <c r="C192" s="7" t="n"/>
      <c r="D192" s="7" t="n"/>
      <c r="E192" s="8" t="n"/>
      <c r="F192" s="7" t="n"/>
      <c r="G192" s="7" t="n"/>
      <c r="H192" s="8" t="n"/>
      <c r="I192" s="7" t="n"/>
      <c r="J192" s="8" t="n"/>
      <c r="K192" s="7" t="n"/>
      <c r="L192" s="8" t="n"/>
      <c r="M192" s="7" t="n"/>
      <c r="N192" s="8" t="n"/>
      <c r="O192" s="9" t="n"/>
      <c r="P192" s="9" t="n"/>
      <c r="Q192" s="7" t="n"/>
      <c r="R192" s="8" t="n"/>
    </row>
    <row r="193" ht="22" customHeight="1">
      <c r="A193" s="6" t="n"/>
      <c r="B193" s="7" t="n"/>
      <c r="C193" s="7" t="n"/>
      <c r="D193" s="7" t="n"/>
      <c r="E193" s="8" t="n"/>
      <c r="F193" s="7" t="n"/>
      <c r="G193" s="7" t="n"/>
      <c r="H193" s="8" t="n"/>
      <c r="I193" s="7" t="n"/>
      <c r="J193" s="8" t="n"/>
      <c r="K193" s="7" t="n"/>
      <c r="L193" s="8" t="n"/>
      <c r="M193" s="7" t="n"/>
      <c r="N193" s="8" t="n"/>
      <c r="O193" s="9" t="n"/>
      <c r="P193" s="9" t="n"/>
      <c r="Q193" s="7" t="n"/>
      <c r="R193" s="8" t="n"/>
    </row>
    <row r="194" ht="22" customHeight="1">
      <c r="A194" s="6" t="n"/>
      <c r="B194" s="7" t="n"/>
      <c r="C194" s="7" t="n"/>
      <c r="D194" s="7" t="n"/>
      <c r="E194" s="8" t="n"/>
      <c r="F194" s="7" t="n"/>
      <c r="G194" s="7" t="n"/>
      <c r="H194" s="8" t="n"/>
      <c r="I194" s="7" t="n"/>
      <c r="J194" s="8" t="n"/>
      <c r="K194" s="7" t="n"/>
      <c r="L194" s="8" t="n"/>
      <c r="M194" s="7" t="n"/>
      <c r="N194" s="8" t="n"/>
      <c r="O194" s="9" t="n"/>
      <c r="P194" s="9" t="n"/>
      <c r="Q194" s="7" t="n"/>
      <c r="R194" s="8" t="n"/>
    </row>
    <row r="195" ht="22" customHeight="1">
      <c r="A195" s="6" t="n"/>
      <c r="B195" s="7" t="n"/>
      <c r="C195" s="7" t="n"/>
      <c r="D195" s="7" t="n"/>
      <c r="E195" s="8" t="n"/>
      <c r="F195" s="7" t="n"/>
      <c r="G195" s="7" t="n"/>
      <c r="H195" s="8" t="n"/>
      <c r="I195" s="7" t="n"/>
      <c r="J195" s="8" t="n"/>
      <c r="K195" s="7" t="n"/>
      <c r="L195" s="8" t="n"/>
      <c r="M195" s="7" t="n"/>
      <c r="N195" s="8" t="n"/>
      <c r="O195" s="9" t="n"/>
      <c r="P195" s="9" t="n"/>
      <c r="Q195" s="7" t="n"/>
      <c r="R195" s="8" t="n"/>
    </row>
    <row r="196" ht="22" customHeight="1">
      <c r="A196" s="6" t="n"/>
      <c r="B196" s="7" t="n"/>
      <c r="C196" s="7" t="n"/>
      <c r="D196" s="7" t="n"/>
      <c r="E196" s="8" t="n"/>
      <c r="F196" s="7" t="n"/>
      <c r="G196" s="7" t="n"/>
      <c r="H196" s="8" t="n"/>
      <c r="I196" s="7" t="n"/>
      <c r="J196" s="8" t="n"/>
      <c r="K196" s="7" t="n"/>
      <c r="L196" s="8" t="n"/>
      <c r="M196" s="7" t="n"/>
      <c r="N196" s="8" t="n"/>
      <c r="O196" s="9" t="n"/>
      <c r="P196" s="9" t="n"/>
      <c r="Q196" s="7" t="n"/>
      <c r="R196" s="8" t="n"/>
    </row>
    <row r="197" ht="22" customHeight="1">
      <c r="A197" s="6" t="n"/>
      <c r="B197" s="7" t="n"/>
      <c r="C197" s="7" t="n"/>
      <c r="D197" s="7" t="n"/>
      <c r="E197" s="8" t="n"/>
      <c r="F197" s="7" t="n"/>
      <c r="G197" s="7" t="n"/>
      <c r="H197" s="8" t="n"/>
      <c r="I197" s="7" t="n"/>
      <c r="J197" s="8" t="n"/>
      <c r="K197" s="7" t="n"/>
      <c r="L197" s="8" t="n"/>
      <c r="M197" s="7" t="n"/>
      <c r="N197" s="8" t="n"/>
      <c r="O197" s="9" t="n"/>
      <c r="P197" s="9" t="n"/>
      <c r="Q197" s="7" t="n"/>
      <c r="R197" s="8" t="n"/>
    </row>
    <row r="198" ht="22" customHeight="1">
      <c r="A198" s="6" t="n"/>
      <c r="B198" s="7" t="n"/>
      <c r="C198" s="7" t="n"/>
      <c r="D198" s="7" t="n"/>
      <c r="E198" s="8" t="n"/>
      <c r="F198" s="7" t="n"/>
      <c r="G198" s="7" t="n"/>
      <c r="H198" s="8" t="n"/>
      <c r="I198" s="7" t="n"/>
      <c r="J198" s="8" t="n"/>
      <c r="K198" s="7" t="n"/>
      <c r="L198" s="8" t="n"/>
      <c r="M198" s="7" t="n"/>
      <c r="N198" s="8" t="n"/>
      <c r="O198" s="9" t="n"/>
      <c r="P198" s="9" t="n"/>
      <c r="Q198" s="7" t="n"/>
      <c r="R198" s="8" t="n"/>
    </row>
    <row r="199" ht="22" customHeight="1">
      <c r="A199" s="6" t="n"/>
      <c r="B199" s="7" t="n"/>
      <c r="C199" s="7" t="n"/>
      <c r="D199" s="7" t="n"/>
      <c r="E199" s="8" t="n"/>
      <c r="F199" s="7" t="n"/>
      <c r="G199" s="7" t="n"/>
      <c r="H199" s="8" t="n"/>
      <c r="I199" s="7" t="n"/>
      <c r="J199" s="8" t="n"/>
      <c r="K199" s="7" t="n"/>
      <c r="L199" s="8" t="n"/>
      <c r="M199" s="7" t="n"/>
      <c r="N199" s="8" t="n"/>
      <c r="O199" s="9" t="n"/>
      <c r="P199" s="9" t="n"/>
      <c r="Q199" s="7" t="n"/>
      <c r="R199" s="8" t="n"/>
    </row>
    <row r="200" ht="22" customHeight="1">
      <c r="A200" s="6" t="n"/>
      <c r="B200" s="7" t="n"/>
      <c r="C200" s="7" t="n"/>
      <c r="D200" s="7" t="n"/>
      <c r="E200" s="8" t="n"/>
      <c r="F200" s="7" t="n"/>
      <c r="G200" s="7" t="n"/>
      <c r="H200" s="8" t="n"/>
      <c r="I200" s="7" t="n"/>
      <c r="J200" s="8" t="n"/>
      <c r="K200" s="7" t="n"/>
      <c r="L200" s="8" t="n"/>
      <c r="M200" s="7" t="n"/>
      <c r="N200" s="8" t="n"/>
      <c r="O200" s="9" t="n"/>
      <c r="P200" s="9" t="n"/>
      <c r="Q200" s="7" t="n"/>
      <c r="R200" s="8" t="n"/>
    </row>
    <row r="201" ht="22" customHeight="1">
      <c r="A201" s="6" t="n"/>
      <c r="B201" s="7" t="n"/>
      <c r="C201" s="7" t="n"/>
      <c r="D201" s="7" t="n"/>
      <c r="E201" s="8" t="n"/>
      <c r="F201" s="7" t="n"/>
      <c r="G201" s="7" t="n"/>
      <c r="H201" s="8" t="n"/>
      <c r="I201" s="7" t="n"/>
      <c r="J201" s="8" t="n"/>
      <c r="K201" s="7" t="n"/>
      <c r="L201" s="8" t="n"/>
      <c r="M201" s="7" t="n"/>
      <c r="N201" s="8" t="n"/>
      <c r="O201" s="9" t="n"/>
      <c r="P201" s="9" t="n"/>
      <c r="Q201" s="7" t="n"/>
      <c r="R201" s="8" t="n"/>
    </row>
    <row r="202" ht="22" customHeight="1">
      <c r="A202" s="6" t="n"/>
      <c r="B202" s="7" t="n"/>
      <c r="C202" s="7" t="n"/>
      <c r="D202" s="7" t="n"/>
      <c r="E202" s="8" t="n"/>
      <c r="F202" s="7" t="n"/>
      <c r="G202" s="7" t="n"/>
      <c r="H202" s="8" t="n"/>
      <c r="I202" s="7" t="n"/>
      <c r="J202" s="8" t="n"/>
      <c r="K202" s="7" t="n"/>
      <c r="L202" s="8" t="n"/>
      <c r="M202" s="7" t="n"/>
      <c r="N202" s="8" t="n"/>
      <c r="O202" s="9" t="n"/>
      <c r="P202" s="9" t="n"/>
      <c r="Q202" s="7" t="n"/>
      <c r="R202" s="8" t="n"/>
    </row>
    <row r="203" ht="22" customHeight="1">
      <c r="A203" s="6" t="n"/>
      <c r="B203" s="7" t="n"/>
      <c r="C203" s="7" t="n"/>
      <c r="D203" s="7" t="n"/>
      <c r="E203" s="8" t="n"/>
      <c r="F203" s="7" t="n"/>
      <c r="G203" s="7" t="n"/>
      <c r="H203" s="8" t="n"/>
      <c r="I203" s="7" t="n"/>
      <c r="J203" s="8" t="n"/>
      <c r="K203" s="7" t="n"/>
      <c r="L203" s="8" t="n"/>
      <c r="M203" s="7" t="n"/>
      <c r="N203" s="8" t="n"/>
      <c r="O203" s="9" t="n"/>
      <c r="P203" s="9" t="n"/>
      <c r="Q203" s="7" t="n"/>
      <c r="R203" s="8" t="n"/>
    </row>
    <row r="204" ht="22" customHeight="1">
      <c r="A204" s="6" t="n"/>
      <c r="B204" s="7" t="n"/>
      <c r="C204" s="7" t="n"/>
      <c r="D204" s="7" t="n"/>
      <c r="E204" s="8" t="n"/>
      <c r="F204" s="7" t="n"/>
      <c r="G204" s="7" t="n"/>
      <c r="H204" s="8" t="n"/>
      <c r="I204" s="7" t="n"/>
      <c r="J204" s="8" t="n"/>
      <c r="K204" s="7" t="n"/>
      <c r="L204" s="8" t="n"/>
      <c r="M204" s="7" t="n"/>
      <c r="N204" s="8" t="n"/>
      <c r="O204" s="9" t="n"/>
      <c r="P204" s="9" t="n"/>
      <c r="Q204" s="7" t="n"/>
      <c r="R204" s="8" t="n"/>
    </row>
    <row r="205" ht="22" customHeight="1">
      <c r="A205" s="6" t="n"/>
      <c r="B205" s="7" t="n"/>
      <c r="C205" s="7" t="n"/>
      <c r="D205" s="7" t="n"/>
      <c r="E205" s="8" t="n"/>
      <c r="F205" s="7" t="n"/>
      <c r="G205" s="7" t="n"/>
      <c r="H205" s="8" t="n"/>
      <c r="I205" s="7" t="n"/>
      <c r="J205" s="8" t="n"/>
      <c r="K205" s="7" t="n"/>
      <c r="L205" s="8" t="n"/>
      <c r="M205" s="7" t="n"/>
      <c r="N205" s="8" t="n"/>
      <c r="O205" s="9" t="n"/>
      <c r="P205" s="9" t="n"/>
      <c r="Q205" s="7" t="n"/>
      <c r="R205" s="8" t="n"/>
    </row>
    <row r="206" ht="22" customHeight="1">
      <c r="A206" s="6" t="n"/>
      <c r="B206" s="7" t="n"/>
      <c r="C206" s="7" t="n"/>
      <c r="D206" s="7" t="n"/>
      <c r="E206" s="8" t="n"/>
      <c r="F206" s="7" t="n"/>
      <c r="G206" s="7" t="n"/>
      <c r="H206" s="8" t="n"/>
      <c r="I206" s="7" t="n"/>
      <c r="J206" s="8" t="n"/>
      <c r="K206" s="7" t="n"/>
      <c r="L206" s="8" t="n"/>
      <c r="M206" s="7" t="n"/>
      <c r="N206" s="8" t="n"/>
      <c r="O206" s="9" t="n"/>
      <c r="P206" s="9" t="n"/>
      <c r="Q206" s="7" t="n"/>
      <c r="R206" s="8" t="n"/>
    </row>
    <row r="207" ht="22" customHeight="1">
      <c r="A207" s="6" t="n"/>
      <c r="B207" s="7" t="n"/>
      <c r="C207" s="7" t="n"/>
      <c r="D207" s="7" t="n"/>
      <c r="E207" s="8" t="n"/>
      <c r="F207" s="7" t="n"/>
      <c r="G207" s="7" t="n"/>
      <c r="H207" s="8" t="n"/>
      <c r="I207" s="7" t="n"/>
      <c r="J207" s="8" t="n"/>
      <c r="K207" s="7" t="n"/>
      <c r="L207" s="8" t="n"/>
      <c r="M207" s="7" t="n"/>
      <c r="N207" s="8" t="n"/>
      <c r="O207" s="9" t="n"/>
      <c r="P207" s="9" t="n"/>
      <c r="Q207" s="7" t="n"/>
      <c r="R207" s="8" t="n"/>
    </row>
    <row r="208" ht="22" customHeight="1">
      <c r="A208" s="6" t="n"/>
      <c r="B208" s="7" t="n"/>
      <c r="C208" s="7" t="n"/>
      <c r="D208" s="7" t="n"/>
      <c r="E208" s="8" t="n"/>
      <c r="F208" s="7" t="n"/>
      <c r="G208" s="7" t="n"/>
      <c r="H208" s="8" t="n"/>
      <c r="I208" s="7" t="n"/>
      <c r="J208" s="8" t="n"/>
      <c r="K208" s="7" t="n"/>
      <c r="L208" s="8" t="n"/>
      <c r="M208" s="7" t="n"/>
      <c r="N208" s="8" t="n"/>
      <c r="O208" s="9" t="n"/>
      <c r="P208" s="9" t="n"/>
      <c r="Q208" s="7" t="n"/>
      <c r="R208" s="8" t="n"/>
    </row>
    <row r="209" ht="22" customHeight="1">
      <c r="A209" s="6" t="n"/>
      <c r="B209" s="7" t="n"/>
      <c r="C209" s="7" t="n"/>
      <c r="D209" s="7" t="n"/>
      <c r="E209" s="8" t="n"/>
      <c r="F209" s="7" t="n"/>
      <c r="G209" s="7" t="n"/>
      <c r="H209" s="8" t="n"/>
      <c r="I209" s="7" t="n"/>
      <c r="J209" s="8" t="n"/>
      <c r="K209" s="7" t="n"/>
      <c r="L209" s="8" t="n"/>
      <c r="M209" s="7" t="n"/>
      <c r="N209" s="8" t="n"/>
      <c r="O209" s="9" t="n"/>
      <c r="P209" s="9" t="n"/>
      <c r="Q209" s="7" t="n"/>
      <c r="R209" s="8" t="n"/>
    </row>
    <row r="210" ht="22" customHeight="1">
      <c r="A210" s="6" t="n"/>
      <c r="B210" s="7" t="n"/>
      <c r="C210" s="7" t="n"/>
      <c r="D210" s="7" t="n"/>
      <c r="E210" s="8" t="n"/>
      <c r="F210" s="7" t="n"/>
      <c r="G210" s="7" t="n"/>
      <c r="H210" s="8" t="n"/>
      <c r="I210" s="7" t="n"/>
      <c r="J210" s="8" t="n"/>
      <c r="K210" s="7" t="n"/>
      <c r="L210" s="8" t="n"/>
      <c r="M210" s="7" t="n"/>
      <c r="N210" s="8" t="n"/>
      <c r="O210" s="9" t="n"/>
      <c r="P210" s="9" t="n"/>
      <c r="Q210" s="7" t="n"/>
      <c r="R210" s="8" t="n"/>
    </row>
    <row r="211" ht="22" customHeight="1">
      <c r="A211" s="6" t="n"/>
      <c r="B211" s="7" t="n"/>
      <c r="C211" s="7" t="n"/>
      <c r="D211" s="7" t="n"/>
      <c r="E211" s="8" t="n"/>
      <c r="F211" s="7" t="n"/>
      <c r="G211" s="7" t="n"/>
      <c r="H211" s="8" t="n"/>
      <c r="I211" s="7" t="n"/>
      <c r="J211" s="8" t="n"/>
      <c r="K211" s="7" t="n"/>
      <c r="L211" s="8" t="n"/>
      <c r="M211" s="7" t="n"/>
      <c r="N211" s="8" t="n"/>
      <c r="O211" s="9" t="n"/>
      <c r="P211" s="9" t="n"/>
      <c r="Q211" s="7" t="n"/>
      <c r="R211" s="8" t="n"/>
    </row>
    <row r="212" ht="22" customHeight="1">
      <c r="A212" s="6" t="n"/>
      <c r="B212" s="7" t="n"/>
      <c r="C212" s="7" t="n"/>
      <c r="D212" s="7" t="n"/>
      <c r="E212" s="8" t="n"/>
      <c r="F212" s="7" t="n"/>
      <c r="G212" s="7" t="n"/>
      <c r="H212" s="8" t="n"/>
      <c r="I212" s="7" t="n"/>
      <c r="J212" s="8" t="n"/>
      <c r="K212" s="7" t="n"/>
      <c r="L212" s="8" t="n"/>
      <c r="M212" s="7" t="n"/>
      <c r="N212" s="8" t="n"/>
      <c r="O212" s="9" t="n"/>
      <c r="P212" s="9" t="n"/>
      <c r="Q212" s="7" t="n"/>
      <c r="R212" s="8" t="n"/>
    </row>
    <row r="213" ht="22" customHeight="1">
      <c r="A213" s="6" t="n"/>
      <c r="B213" s="7" t="n"/>
      <c r="C213" s="7" t="n"/>
      <c r="D213" s="7" t="n"/>
      <c r="E213" s="8" t="n"/>
      <c r="F213" s="7" t="n"/>
      <c r="G213" s="7" t="n"/>
      <c r="H213" s="8" t="n"/>
      <c r="I213" s="7" t="n"/>
      <c r="J213" s="8" t="n"/>
      <c r="K213" s="7" t="n"/>
      <c r="L213" s="8" t="n"/>
      <c r="M213" s="7" t="n"/>
      <c r="N213" s="8" t="n"/>
      <c r="O213" s="9" t="n"/>
      <c r="P213" s="9" t="n"/>
      <c r="Q213" s="7" t="n"/>
      <c r="R213" s="8" t="n"/>
    </row>
    <row r="214" ht="22" customHeight="1">
      <c r="A214" s="6" t="n"/>
      <c r="B214" s="7" t="n"/>
      <c r="C214" s="7" t="n"/>
      <c r="D214" s="7" t="n"/>
      <c r="E214" s="8" t="n"/>
      <c r="F214" s="7" t="n"/>
      <c r="G214" s="7" t="n"/>
      <c r="H214" s="8" t="n"/>
      <c r="I214" s="7" t="n"/>
      <c r="J214" s="8" t="n"/>
      <c r="K214" s="7" t="n"/>
      <c r="L214" s="8" t="n"/>
      <c r="M214" s="7" t="n"/>
      <c r="N214" s="8" t="n"/>
      <c r="O214" s="9" t="n"/>
      <c r="P214" s="9" t="n"/>
      <c r="Q214" s="7" t="n"/>
      <c r="R214" s="8" t="n"/>
    </row>
    <row r="215" ht="22" customHeight="1">
      <c r="A215" s="6" t="n"/>
      <c r="B215" s="7" t="n"/>
      <c r="C215" s="7" t="n"/>
      <c r="D215" s="7" t="n"/>
      <c r="E215" s="8" t="n"/>
      <c r="F215" s="7" t="n"/>
      <c r="G215" s="7" t="n"/>
      <c r="H215" s="8" t="n"/>
      <c r="I215" s="7" t="n"/>
      <c r="J215" s="8" t="n"/>
      <c r="K215" s="7" t="n"/>
      <c r="L215" s="8" t="n"/>
      <c r="M215" s="7" t="n"/>
      <c r="N215" s="8" t="n"/>
      <c r="O215" s="9" t="n"/>
      <c r="P215" s="9" t="n"/>
      <c r="Q215" s="7" t="n"/>
      <c r="R215" s="8" t="n"/>
    </row>
    <row r="216" ht="22" customHeight="1">
      <c r="A216" s="6" t="n"/>
      <c r="B216" s="7" t="n"/>
      <c r="C216" s="7" t="n"/>
      <c r="D216" s="7" t="n"/>
      <c r="E216" s="8" t="n"/>
      <c r="F216" s="7" t="n"/>
      <c r="G216" s="7" t="n"/>
      <c r="H216" s="8" t="n"/>
      <c r="I216" s="7" t="n"/>
      <c r="J216" s="8" t="n"/>
      <c r="K216" s="7" t="n"/>
      <c r="L216" s="8" t="n"/>
      <c r="M216" s="7" t="n"/>
      <c r="N216" s="8" t="n"/>
      <c r="O216" s="9" t="n"/>
      <c r="P216" s="9" t="n"/>
      <c r="Q216" s="7" t="n"/>
      <c r="R216" s="8" t="n"/>
    </row>
    <row r="217" ht="22" customHeight="1">
      <c r="A217" s="6" t="n"/>
      <c r="B217" s="7" t="n"/>
      <c r="C217" s="7" t="n"/>
      <c r="D217" s="7" t="n"/>
      <c r="E217" s="8" t="n"/>
      <c r="F217" s="7" t="n"/>
      <c r="G217" s="7" t="n"/>
      <c r="H217" s="8" t="n"/>
      <c r="I217" s="7" t="n"/>
      <c r="J217" s="8" t="n"/>
      <c r="K217" s="7" t="n"/>
      <c r="L217" s="8" t="n"/>
      <c r="M217" s="7" t="n"/>
      <c r="N217" s="8" t="n"/>
      <c r="O217" s="9" t="n"/>
      <c r="P217" s="9" t="n"/>
      <c r="Q217" s="7" t="n"/>
      <c r="R217" s="8" t="n"/>
    </row>
    <row r="218" ht="22" customHeight="1">
      <c r="A218" s="6" t="n"/>
      <c r="B218" s="7" t="n"/>
      <c r="C218" s="7" t="n"/>
      <c r="D218" s="7" t="n"/>
      <c r="E218" s="8" t="n"/>
      <c r="F218" s="7" t="n"/>
      <c r="G218" s="7" t="n"/>
      <c r="H218" s="8" t="n"/>
      <c r="I218" s="7" t="n"/>
      <c r="J218" s="8" t="n"/>
      <c r="K218" s="7" t="n"/>
      <c r="L218" s="8" t="n"/>
      <c r="M218" s="7" t="n"/>
      <c r="N218" s="8" t="n"/>
      <c r="O218" s="9" t="n"/>
      <c r="P218" s="9" t="n"/>
      <c r="Q218" s="7" t="n"/>
      <c r="R218" s="8" t="n"/>
    </row>
    <row r="219" ht="22" customHeight="1">
      <c r="A219" s="6" t="n"/>
      <c r="B219" s="7" t="n"/>
      <c r="C219" s="7" t="n"/>
      <c r="D219" s="7" t="n"/>
      <c r="E219" s="8" t="n"/>
      <c r="F219" s="7" t="n"/>
      <c r="G219" s="7" t="n"/>
      <c r="H219" s="8" t="n"/>
      <c r="I219" s="7" t="n"/>
      <c r="J219" s="8" t="n"/>
      <c r="K219" s="7" t="n"/>
      <c r="L219" s="8" t="n"/>
      <c r="M219" s="7" t="n"/>
      <c r="N219" s="8" t="n"/>
      <c r="O219" s="9" t="n"/>
      <c r="P219" s="9" t="n"/>
      <c r="Q219" s="7" t="n"/>
      <c r="R219" s="8" t="n"/>
    </row>
    <row r="220" ht="22" customHeight="1">
      <c r="A220" s="6" t="n"/>
      <c r="B220" s="7" t="n"/>
      <c r="C220" s="7" t="n"/>
      <c r="D220" s="7" t="n"/>
      <c r="E220" s="8" t="n"/>
      <c r="F220" s="7" t="n"/>
      <c r="G220" s="7" t="n"/>
      <c r="H220" s="8" t="n"/>
      <c r="I220" s="7" t="n"/>
      <c r="J220" s="8" t="n"/>
      <c r="K220" s="7" t="n"/>
      <c r="L220" s="8" t="n"/>
      <c r="M220" s="7" t="n"/>
      <c r="N220" s="8" t="n"/>
      <c r="O220" s="9" t="n"/>
      <c r="P220" s="9" t="n"/>
      <c r="Q220" s="7" t="n"/>
      <c r="R220" s="8" t="n"/>
    </row>
    <row r="221" ht="22" customHeight="1">
      <c r="A221" s="6" t="n"/>
      <c r="B221" s="7" t="n"/>
      <c r="C221" s="7" t="n"/>
      <c r="D221" s="7" t="n"/>
      <c r="E221" s="8" t="n"/>
      <c r="F221" s="7" t="n"/>
      <c r="G221" s="7" t="n"/>
      <c r="H221" s="8" t="n"/>
      <c r="I221" s="7" t="n"/>
      <c r="J221" s="8" t="n"/>
      <c r="K221" s="7" t="n"/>
      <c r="L221" s="8" t="n"/>
      <c r="M221" s="7" t="n"/>
      <c r="N221" s="8" t="n"/>
      <c r="O221" s="9" t="n"/>
      <c r="P221" s="9" t="n"/>
      <c r="Q221" s="7" t="n"/>
      <c r="R221" s="8" t="n"/>
    </row>
    <row r="222" ht="22" customHeight="1">
      <c r="A222" s="6" t="n"/>
      <c r="B222" s="7" t="n"/>
      <c r="C222" s="7" t="n"/>
      <c r="D222" s="7" t="n"/>
      <c r="E222" s="8" t="n"/>
      <c r="F222" s="7" t="n"/>
      <c r="G222" s="7" t="n"/>
      <c r="H222" s="8" t="n"/>
      <c r="I222" s="7" t="n"/>
      <c r="J222" s="8" t="n"/>
      <c r="K222" s="7" t="n"/>
      <c r="L222" s="8" t="n"/>
      <c r="M222" s="7" t="n"/>
      <c r="N222" s="8" t="n"/>
      <c r="O222" s="9" t="n"/>
      <c r="P222" s="9" t="n"/>
      <c r="Q222" s="7" t="n"/>
      <c r="R222" s="8" t="n"/>
    </row>
    <row r="223" ht="22" customHeight="1">
      <c r="A223" s="6" t="n"/>
      <c r="B223" s="7" t="n"/>
      <c r="C223" s="7" t="n"/>
      <c r="D223" s="7" t="n"/>
      <c r="E223" s="8" t="n"/>
      <c r="F223" s="7" t="n"/>
      <c r="G223" s="7" t="n"/>
      <c r="H223" s="8" t="n"/>
      <c r="I223" s="7" t="n"/>
      <c r="J223" s="8" t="n"/>
      <c r="K223" s="7" t="n"/>
      <c r="L223" s="8" t="n"/>
      <c r="M223" s="7" t="n"/>
      <c r="N223" s="8" t="n"/>
      <c r="O223" s="9" t="n"/>
      <c r="P223" s="9" t="n"/>
      <c r="Q223" s="7" t="n"/>
      <c r="R223" s="8" t="n"/>
    </row>
    <row r="224" ht="22" customHeight="1">
      <c r="A224" s="6" t="n"/>
      <c r="B224" s="7" t="n"/>
      <c r="C224" s="7" t="n"/>
      <c r="D224" s="7" t="n"/>
      <c r="E224" s="8" t="n"/>
      <c r="F224" s="7" t="n"/>
      <c r="G224" s="7" t="n"/>
      <c r="H224" s="8" t="n"/>
      <c r="I224" s="7" t="n"/>
      <c r="J224" s="8" t="n"/>
      <c r="K224" s="7" t="n"/>
      <c r="L224" s="8" t="n"/>
      <c r="M224" s="7" t="n"/>
      <c r="N224" s="8" t="n"/>
      <c r="O224" s="9" t="n"/>
      <c r="P224" s="9" t="n"/>
      <c r="Q224" s="7" t="n"/>
      <c r="R224" s="8" t="n"/>
    </row>
    <row r="225" ht="22" customHeight="1">
      <c r="A225" s="6" t="n"/>
      <c r="B225" s="7" t="n"/>
      <c r="C225" s="7" t="n"/>
      <c r="D225" s="7" t="n"/>
      <c r="E225" s="8" t="n"/>
      <c r="F225" s="7" t="n"/>
      <c r="G225" s="7" t="n"/>
      <c r="H225" s="8" t="n"/>
      <c r="I225" s="7" t="n"/>
      <c r="J225" s="8" t="n"/>
      <c r="K225" s="7" t="n"/>
      <c r="L225" s="8" t="n"/>
      <c r="M225" s="7" t="n"/>
      <c r="N225" s="8" t="n"/>
      <c r="O225" s="9" t="n"/>
      <c r="P225" s="9" t="n"/>
      <c r="Q225" s="7" t="n"/>
      <c r="R225" s="8" t="n"/>
    </row>
    <row r="226" ht="22" customHeight="1">
      <c r="A226" s="6" t="n"/>
      <c r="B226" s="7" t="n"/>
      <c r="C226" s="7" t="n"/>
      <c r="D226" s="7" t="n"/>
      <c r="E226" s="8" t="n"/>
      <c r="F226" s="7" t="n"/>
      <c r="G226" s="7" t="n"/>
      <c r="H226" s="8" t="n"/>
      <c r="I226" s="7" t="n"/>
      <c r="J226" s="8" t="n"/>
      <c r="K226" s="7" t="n"/>
      <c r="L226" s="8" t="n"/>
      <c r="M226" s="7" t="n"/>
      <c r="N226" s="8" t="n"/>
      <c r="O226" s="9" t="n"/>
      <c r="P226" s="9" t="n"/>
      <c r="Q226" s="7" t="n"/>
      <c r="R226" s="8" t="n"/>
    </row>
    <row r="227" ht="22" customHeight="1">
      <c r="A227" s="6" t="n"/>
      <c r="B227" s="7" t="n"/>
      <c r="C227" s="7" t="n"/>
      <c r="D227" s="7" t="n"/>
      <c r="E227" s="8" t="n"/>
      <c r="F227" s="7" t="n"/>
      <c r="G227" s="7" t="n"/>
      <c r="H227" s="8" t="n"/>
      <c r="I227" s="7" t="n"/>
      <c r="J227" s="8" t="n"/>
      <c r="K227" s="7" t="n"/>
      <c r="L227" s="8" t="n"/>
      <c r="M227" s="7" t="n"/>
      <c r="N227" s="8" t="n"/>
      <c r="O227" s="9" t="n"/>
      <c r="P227" s="9" t="n"/>
      <c r="Q227" s="7" t="n"/>
      <c r="R227" s="8" t="n"/>
    </row>
    <row r="228" ht="22" customHeight="1">
      <c r="A228" s="6" t="n"/>
      <c r="B228" s="7" t="n"/>
      <c r="C228" s="7" t="n"/>
      <c r="D228" s="7" t="n"/>
      <c r="E228" s="8" t="n"/>
      <c r="F228" s="7" t="n"/>
      <c r="G228" s="7" t="n"/>
      <c r="H228" s="8" t="n"/>
      <c r="I228" s="7" t="n"/>
      <c r="J228" s="8" t="n"/>
      <c r="K228" s="7" t="n"/>
      <c r="L228" s="8" t="n"/>
      <c r="M228" s="7" t="n"/>
      <c r="N228" s="8" t="n"/>
      <c r="O228" s="9" t="n"/>
      <c r="P228" s="9" t="n"/>
      <c r="Q228" s="7" t="n"/>
      <c r="R228" s="8" t="n"/>
    </row>
    <row r="229" ht="22" customHeight="1">
      <c r="A229" s="6" t="n"/>
      <c r="B229" s="7" t="n"/>
      <c r="C229" s="7" t="n"/>
      <c r="D229" s="7" t="n"/>
      <c r="E229" s="8" t="n"/>
      <c r="F229" s="7" t="n"/>
      <c r="G229" s="7" t="n"/>
      <c r="H229" s="8" t="n"/>
      <c r="I229" s="7" t="n"/>
      <c r="J229" s="8" t="n"/>
      <c r="K229" s="7" t="n"/>
      <c r="L229" s="8" t="n"/>
      <c r="M229" s="7" t="n"/>
      <c r="N229" s="8" t="n"/>
      <c r="O229" s="9" t="n"/>
      <c r="P229" s="9" t="n"/>
      <c r="Q229" s="7" t="n"/>
      <c r="R229" s="8" t="n"/>
    </row>
    <row r="230" ht="22" customHeight="1">
      <c r="A230" s="6" t="n"/>
      <c r="B230" s="7" t="n"/>
      <c r="C230" s="7" t="n"/>
      <c r="D230" s="7" t="n"/>
      <c r="E230" s="8" t="n"/>
      <c r="F230" s="7" t="n"/>
      <c r="G230" s="7" t="n"/>
      <c r="H230" s="8" t="n"/>
      <c r="I230" s="7" t="n"/>
      <c r="J230" s="8" t="n"/>
      <c r="K230" s="7" t="n"/>
      <c r="L230" s="8" t="n"/>
      <c r="M230" s="7" t="n"/>
      <c r="N230" s="8" t="n"/>
      <c r="O230" s="9" t="n"/>
      <c r="P230" s="9" t="n"/>
      <c r="Q230" s="7" t="n"/>
      <c r="R230" s="8" t="n"/>
    </row>
    <row r="231" ht="22" customHeight="1">
      <c r="A231" s="6" t="n"/>
      <c r="B231" s="7" t="n"/>
      <c r="C231" s="7" t="n"/>
      <c r="D231" s="7" t="n"/>
      <c r="E231" s="8" t="n"/>
      <c r="F231" s="7" t="n"/>
      <c r="G231" s="7" t="n"/>
      <c r="H231" s="8" t="n"/>
      <c r="I231" s="7" t="n"/>
      <c r="J231" s="8" t="n"/>
      <c r="K231" s="7" t="n"/>
      <c r="L231" s="8" t="n"/>
      <c r="M231" s="7" t="n"/>
      <c r="N231" s="8" t="n"/>
      <c r="O231" s="9" t="n"/>
      <c r="P231" s="9" t="n"/>
      <c r="Q231" s="7" t="n"/>
      <c r="R231" s="8" t="n"/>
    </row>
    <row r="232" ht="22" customHeight="1">
      <c r="A232" s="6" t="n"/>
      <c r="B232" s="7" t="n"/>
      <c r="C232" s="7" t="n"/>
      <c r="D232" s="7" t="n"/>
      <c r="E232" s="8" t="n"/>
      <c r="F232" s="7" t="n"/>
      <c r="G232" s="7" t="n"/>
      <c r="H232" s="8" t="n"/>
      <c r="I232" s="7" t="n"/>
      <c r="J232" s="8" t="n"/>
      <c r="K232" s="7" t="n"/>
      <c r="L232" s="8" t="n"/>
      <c r="M232" s="7" t="n"/>
      <c r="N232" s="8" t="n"/>
      <c r="O232" s="9" t="n"/>
      <c r="P232" s="9" t="n"/>
      <c r="Q232" s="7" t="n"/>
      <c r="R232" s="8" t="n"/>
    </row>
    <row r="233" ht="22" customHeight="1">
      <c r="A233" s="6" t="n"/>
      <c r="B233" s="7" t="n"/>
      <c r="C233" s="7" t="n"/>
      <c r="D233" s="7" t="n"/>
      <c r="E233" s="8" t="n"/>
      <c r="F233" s="7" t="n"/>
      <c r="G233" s="7" t="n"/>
      <c r="H233" s="8" t="n"/>
      <c r="I233" s="7" t="n"/>
      <c r="J233" s="8" t="n"/>
      <c r="K233" s="7" t="n"/>
      <c r="L233" s="8" t="n"/>
      <c r="M233" s="7" t="n"/>
      <c r="N233" s="8" t="n"/>
      <c r="O233" s="9" t="n"/>
      <c r="P233" s="9" t="n"/>
      <c r="Q233" s="7" t="n"/>
      <c r="R233" s="8" t="n"/>
    </row>
    <row r="234" ht="22" customHeight="1">
      <c r="A234" s="6" t="n"/>
      <c r="B234" s="7" t="n"/>
      <c r="C234" s="7" t="n"/>
      <c r="D234" s="7" t="n"/>
      <c r="E234" s="8" t="n"/>
      <c r="F234" s="7" t="n"/>
      <c r="G234" s="7" t="n"/>
      <c r="H234" s="8" t="n"/>
      <c r="I234" s="7" t="n"/>
      <c r="J234" s="8" t="n"/>
      <c r="K234" s="7" t="n"/>
      <c r="L234" s="8" t="n"/>
      <c r="M234" s="7" t="n"/>
      <c r="N234" s="8" t="n"/>
      <c r="O234" s="9" t="n"/>
      <c r="P234" s="9" t="n"/>
      <c r="Q234" s="7" t="n"/>
      <c r="R234" s="8" t="n"/>
    </row>
    <row r="235" ht="22" customHeight="1">
      <c r="A235" s="6" t="n"/>
      <c r="B235" s="7" t="n"/>
      <c r="C235" s="7" t="n"/>
      <c r="D235" s="7" t="n"/>
      <c r="E235" s="8" t="n"/>
      <c r="F235" s="7" t="n"/>
      <c r="G235" s="7" t="n"/>
      <c r="H235" s="8" t="n"/>
      <c r="I235" s="7" t="n"/>
      <c r="J235" s="8" t="n"/>
      <c r="K235" s="7" t="n"/>
      <c r="L235" s="8" t="n"/>
      <c r="M235" s="7" t="n"/>
      <c r="N235" s="8" t="n"/>
      <c r="O235" s="9" t="n"/>
      <c r="P235" s="9" t="n"/>
      <c r="Q235" s="7" t="n"/>
      <c r="R235" s="8" t="n"/>
    </row>
    <row r="236" ht="22" customHeight="1">
      <c r="A236" s="6" t="n"/>
      <c r="B236" s="7" t="n"/>
      <c r="C236" s="7" t="n"/>
      <c r="D236" s="7" t="n"/>
      <c r="E236" s="8" t="n"/>
      <c r="F236" s="7" t="n"/>
      <c r="G236" s="7" t="n"/>
      <c r="H236" s="8" t="n"/>
      <c r="I236" s="7" t="n"/>
      <c r="J236" s="8" t="n"/>
      <c r="K236" s="7" t="n"/>
      <c r="L236" s="8" t="n"/>
      <c r="M236" s="7" t="n"/>
      <c r="N236" s="8" t="n"/>
      <c r="O236" s="9" t="n"/>
      <c r="P236" s="9" t="n"/>
      <c r="Q236" s="7" t="n"/>
      <c r="R236" s="8" t="n"/>
    </row>
    <row r="237" ht="22" customHeight="1">
      <c r="A237" s="6" t="n"/>
      <c r="B237" s="7" t="n"/>
      <c r="C237" s="7" t="n"/>
      <c r="D237" s="7" t="n"/>
      <c r="E237" s="8" t="n"/>
      <c r="F237" s="7" t="n"/>
      <c r="G237" s="7" t="n"/>
      <c r="H237" s="8" t="n"/>
      <c r="I237" s="7" t="n"/>
      <c r="J237" s="8" t="n"/>
      <c r="K237" s="7" t="n"/>
      <c r="L237" s="8" t="n"/>
      <c r="M237" s="7" t="n"/>
      <c r="N237" s="8" t="n"/>
      <c r="O237" s="9" t="n"/>
      <c r="P237" s="9" t="n"/>
      <c r="Q237" s="7" t="n"/>
      <c r="R237" s="8" t="n"/>
    </row>
    <row r="238" ht="22" customHeight="1">
      <c r="A238" s="6" t="n"/>
      <c r="B238" s="7" t="n"/>
      <c r="C238" s="7" t="n"/>
      <c r="D238" s="7" t="n"/>
      <c r="E238" s="8" t="n"/>
      <c r="F238" s="7" t="n"/>
      <c r="G238" s="7" t="n"/>
      <c r="H238" s="8" t="n"/>
      <c r="I238" s="7" t="n"/>
      <c r="J238" s="8" t="n"/>
      <c r="K238" s="7" t="n"/>
      <c r="L238" s="8" t="n"/>
      <c r="M238" s="7" t="n"/>
      <c r="N238" s="8" t="n"/>
      <c r="O238" s="9" t="n"/>
      <c r="P238" s="9" t="n"/>
      <c r="Q238" s="7" t="n"/>
      <c r="R238" s="8" t="n"/>
    </row>
    <row r="239" ht="22" customHeight="1">
      <c r="A239" s="6" t="n"/>
      <c r="B239" s="7" t="n"/>
      <c r="C239" s="7" t="n"/>
      <c r="D239" s="7" t="n"/>
      <c r="E239" s="8" t="n"/>
      <c r="F239" s="7" t="n"/>
      <c r="G239" s="7" t="n"/>
      <c r="H239" s="8" t="n"/>
      <c r="I239" s="7" t="n"/>
      <c r="J239" s="8" t="n"/>
      <c r="K239" s="7" t="n"/>
      <c r="L239" s="8" t="n"/>
      <c r="M239" s="7" t="n"/>
      <c r="N239" s="8" t="n"/>
      <c r="O239" s="9" t="n"/>
      <c r="P239" s="9" t="n"/>
      <c r="Q239" s="7" t="n"/>
      <c r="R239" s="8" t="n"/>
    </row>
    <row r="240" ht="22" customHeight="1">
      <c r="A240" s="6" t="n"/>
      <c r="B240" s="7" t="n"/>
      <c r="C240" s="7" t="n"/>
      <c r="D240" s="7" t="n"/>
      <c r="E240" s="8" t="n"/>
      <c r="F240" s="7" t="n"/>
      <c r="G240" s="7" t="n"/>
      <c r="H240" s="8" t="n"/>
      <c r="I240" s="7" t="n"/>
      <c r="J240" s="8" t="n"/>
      <c r="K240" s="7" t="n"/>
      <c r="L240" s="8" t="n"/>
      <c r="M240" s="7" t="n"/>
      <c r="N240" s="8" t="n"/>
      <c r="O240" s="9" t="n"/>
      <c r="P240" s="9" t="n"/>
      <c r="Q240" s="7" t="n"/>
      <c r="R240" s="8" t="n"/>
    </row>
    <row r="241" ht="22" customHeight="1">
      <c r="A241" s="6" t="n"/>
      <c r="B241" s="7" t="n"/>
      <c r="C241" s="7" t="n"/>
      <c r="D241" s="7" t="n"/>
      <c r="E241" s="8" t="n"/>
      <c r="F241" s="7" t="n"/>
      <c r="G241" s="7" t="n"/>
      <c r="H241" s="8" t="n"/>
      <c r="I241" s="7" t="n"/>
      <c r="J241" s="8" t="n"/>
      <c r="K241" s="7" t="n"/>
      <c r="L241" s="8" t="n"/>
      <c r="M241" s="7" t="n"/>
      <c r="N241" s="8" t="n"/>
      <c r="O241" s="9" t="n"/>
      <c r="P241" s="9" t="n"/>
      <c r="Q241" s="7" t="n"/>
      <c r="R241" s="8" t="n"/>
    </row>
    <row r="242" ht="22" customHeight="1">
      <c r="A242" s="6" t="n"/>
      <c r="B242" s="7" t="n"/>
      <c r="C242" s="7" t="n"/>
      <c r="D242" s="7" t="n"/>
      <c r="E242" s="8" t="n"/>
      <c r="F242" s="7" t="n"/>
      <c r="G242" s="7" t="n"/>
      <c r="H242" s="8" t="n"/>
      <c r="I242" s="7" t="n"/>
      <c r="J242" s="8" t="n"/>
      <c r="K242" s="7" t="n"/>
      <c r="L242" s="8" t="n"/>
      <c r="M242" s="7" t="n"/>
      <c r="N242" s="8" t="n"/>
      <c r="O242" s="9" t="n"/>
      <c r="P242" s="9" t="n"/>
      <c r="Q242" s="7" t="n"/>
      <c r="R242" s="8" t="n"/>
    </row>
    <row r="243" ht="22" customHeight="1">
      <c r="A243" s="6" t="n"/>
      <c r="B243" s="7" t="n"/>
      <c r="C243" s="7" t="n"/>
      <c r="D243" s="7" t="n"/>
      <c r="E243" s="8" t="n"/>
      <c r="F243" s="7" t="n"/>
      <c r="G243" s="7" t="n"/>
      <c r="H243" s="8" t="n"/>
      <c r="I243" s="7" t="n"/>
      <c r="J243" s="8" t="n"/>
      <c r="K243" s="7" t="n"/>
      <c r="L243" s="8" t="n"/>
      <c r="M243" s="7" t="n"/>
      <c r="N243" s="8" t="n"/>
      <c r="O243" s="9" t="n"/>
      <c r="P243" s="9" t="n"/>
      <c r="Q243" s="7" t="n"/>
      <c r="R243" s="8" t="n"/>
    </row>
    <row r="244" ht="22" customHeight="1">
      <c r="A244" s="6" t="n"/>
      <c r="B244" s="7" t="n"/>
      <c r="C244" s="7" t="n"/>
      <c r="D244" s="7" t="n"/>
      <c r="E244" s="8" t="n"/>
      <c r="F244" s="7" t="n"/>
      <c r="G244" s="7" t="n"/>
      <c r="H244" s="8" t="n"/>
      <c r="I244" s="7" t="n"/>
      <c r="J244" s="8" t="n"/>
      <c r="K244" s="7" t="n"/>
      <c r="L244" s="8" t="n"/>
      <c r="M244" s="7" t="n"/>
      <c r="N244" s="8" t="n"/>
      <c r="O244" s="9" t="n"/>
      <c r="P244" s="9" t="n"/>
      <c r="Q244" s="7" t="n"/>
      <c r="R244" s="8" t="n"/>
    </row>
    <row r="245" ht="22" customHeight="1">
      <c r="A245" s="6" t="n"/>
      <c r="B245" s="7" t="n"/>
      <c r="C245" s="7" t="n"/>
      <c r="D245" s="7" t="n"/>
      <c r="E245" s="8" t="n"/>
      <c r="F245" s="7" t="n"/>
      <c r="G245" s="7" t="n"/>
      <c r="H245" s="8" t="n"/>
      <c r="I245" s="7" t="n"/>
      <c r="J245" s="8" t="n"/>
      <c r="K245" s="7" t="n"/>
      <c r="L245" s="8" t="n"/>
      <c r="M245" s="7" t="n"/>
      <c r="N245" s="8" t="n"/>
      <c r="O245" s="9" t="n"/>
      <c r="P245" s="9" t="n"/>
      <c r="Q245" s="7" t="n"/>
      <c r="R245" s="8" t="n"/>
    </row>
    <row r="246" ht="22" customHeight="1">
      <c r="A246" s="6" t="n"/>
      <c r="B246" s="7" t="n"/>
      <c r="C246" s="7" t="n"/>
      <c r="D246" s="7" t="n"/>
      <c r="E246" s="8" t="n"/>
      <c r="F246" s="7" t="n"/>
      <c r="G246" s="7" t="n"/>
      <c r="H246" s="8" t="n"/>
      <c r="I246" s="7" t="n"/>
      <c r="J246" s="8" t="n"/>
      <c r="K246" s="7" t="n"/>
      <c r="L246" s="8" t="n"/>
      <c r="M246" s="7" t="n"/>
      <c r="N246" s="8" t="n"/>
      <c r="O246" s="9" t="n"/>
      <c r="P246" s="9" t="n"/>
      <c r="Q246" s="7" t="n"/>
      <c r="R246" s="8" t="n"/>
    </row>
    <row r="247" ht="22" customHeight="1">
      <c r="A247" s="6" t="n"/>
      <c r="B247" s="7" t="n"/>
      <c r="C247" s="7" t="n"/>
      <c r="D247" s="7" t="n"/>
      <c r="E247" s="8" t="n"/>
      <c r="F247" s="7" t="n"/>
      <c r="G247" s="7" t="n"/>
      <c r="H247" s="8" t="n"/>
      <c r="I247" s="7" t="n"/>
      <c r="J247" s="8" t="n"/>
      <c r="K247" s="7" t="n"/>
      <c r="L247" s="8" t="n"/>
      <c r="M247" s="7" t="n"/>
      <c r="N247" s="8" t="n"/>
      <c r="O247" s="9" t="n"/>
      <c r="P247" s="9" t="n"/>
      <c r="Q247" s="7" t="n"/>
      <c r="R247" s="8" t="n"/>
    </row>
    <row r="248" ht="22" customHeight="1">
      <c r="A248" s="6" t="n"/>
      <c r="B248" s="7" t="n"/>
      <c r="C248" s="7" t="n"/>
      <c r="D248" s="7" t="n"/>
      <c r="E248" s="8" t="n"/>
      <c r="F248" s="7" t="n"/>
      <c r="G248" s="7" t="n"/>
      <c r="H248" s="8" t="n"/>
      <c r="I248" s="7" t="n"/>
      <c r="J248" s="8" t="n"/>
      <c r="K248" s="7" t="n"/>
      <c r="L248" s="8" t="n"/>
      <c r="M248" s="7" t="n"/>
      <c r="N248" s="8" t="n"/>
      <c r="O248" s="9" t="n"/>
      <c r="P248" s="9" t="n"/>
      <c r="Q248" s="7" t="n"/>
      <c r="R248" s="8" t="n"/>
    </row>
    <row r="249" ht="22" customHeight="1">
      <c r="A249" s="6" t="n"/>
      <c r="B249" s="7" t="n"/>
      <c r="C249" s="7" t="n"/>
      <c r="D249" s="7" t="n"/>
      <c r="E249" s="8" t="n"/>
      <c r="F249" s="7" t="n"/>
      <c r="G249" s="7" t="n"/>
      <c r="H249" s="8" t="n"/>
      <c r="I249" s="7" t="n"/>
      <c r="J249" s="8" t="n"/>
      <c r="K249" s="7" t="n"/>
      <c r="L249" s="8" t="n"/>
      <c r="M249" s="7" t="n"/>
      <c r="N249" s="8" t="n"/>
      <c r="O249" s="9" t="n"/>
      <c r="P249" s="9" t="n"/>
      <c r="Q249" s="7" t="n"/>
      <c r="R249" s="8" t="n"/>
    </row>
    <row r="250" ht="22" customHeight="1">
      <c r="A250" s="6" t="n"/>
      <c r="B250" s="7" t="n"/>
      <c r="C250" s="7" t="n"/>
      <c r="D250" s="7" t="n"/>
      <c r="E250" s="8" t="n"/>
      <c r="F250" s="7" t="n"/>
      <c r="G250" s="7" t="n"/>
      <c r="H250" s="8" t="n"/>
      <c r="I250" s="7" t="n"/>
      <c r="J250" s="8" t="n"/>
      <c r="K250" s="7" t="n"/>
      <c r="L250" s="8" t="n"/>
      <c r="M250" s="7" t="n"/>
      <c r="N250" s="8" t="n"/>
      <c r="O250" s="9" t="n"/>
      <c r="P250" s="9" t="n"/>
      <c r="Q250" s="7" t="n"/>
      <c r="R250" s="8" t="n"/>
    </row>
    <row r="251" ht="22" customHeight="1">
      <c r="A251" s="6" t="n"/>
      <c r="B251" s="7" t="n"/>
      <c r="C251" s="7" t="n"/>
      <c r="D251" s="7" t="n"/>
      <c r="E251" s="8" t="n"/>
      <c r="F251" s="7" t="n"/>
      <c r="G251" s="7" t="n"/>
      <c r="H251" s="8" t="n"/>
      <c r="I251" s="7" t="n"/>
      <c r="J251" s="8" t="n"/>
      <c r="K251" s="7" t="n"/>
      <c r="L251" s="8" t="n"/>
      <c r="M251" s="7" t="n"/>
      <c r="N251" s="8" t="n"/>
      <c r="O251" s="9" t="n"/>
      <c r="P251" s="9" t="n"/>
      <c r="Q251" s="7" t="n"/>
      <c r="R251" s="8" t="n"/>
    </row>
    <row r="252" ht="22" customHeight="1">
      <c r="A252" s="6" t="n"/>
      <c r="B252" s="7" t="n"/>
      <c r="C252" s="7" t="n"/>
      <c r="D252" s="7" t="n"/>
      <c r="E252" s="8" t="n"/>
      <c r="F252" s="7" t="n"/>
      <c r="G252" s="7" t="n"/>
      <c r="H252" s="8" t="n"/>
      <c r="I252" s="7" t="n"/>
      <c r="J252" s="8" t="n"/>
      <c r="K252" s="7" t="n"/>
      <c r="L252" s="8" t="n"/>
      <c r="M252" s="7" t="n"/>
      <c r="N252" s="8" t="n"/>
      <c r="O252" s="9" t="n"/>
      <c r="P252" s="9" t="n"/>
      <c r="Q252" s="7" t="n"/>
      <c r="R252" s="8" t="n"/>
    </row>
    <row r="253" ht="22" customHeight="1">
      <c r="A253" s="6" t="n"/>
      <c r="B253" s="7" t="n"/>
      <c r="C253" s="7" t="n"/>
      <c r="D253" s="7" t="n"/>
      <c r="E253" s="8" t="n"/>
      <c r="F253" s="7" t="n"/>
      <c r="G253" s="7" t="n"/>
      <c r="H253" s="8" t="n"/>
      <c r="I253" s="7" t="n"/>
      <c r="J253" s="8" t="n"/>
      <c r="K253" s="7" t="n"/>
      <c r="L253" s="8" t="n"/>
      <c r="M253" s="7" t="n"/>
      <c r="N253" s="8" t="n"/>
      <c r="O253" s="9" t="n"/>
      <c r="P253" s="9" t="n"/>
      <c r="Q253" s="7" t="n"/>
      <c r="R253" s="8" t="n"/>
    </row>
    <row r="254" ht="22" customHeight="1">
      <c r="A254" s="6" t="n"/>
      <c r="B254" s="7" t="n"/>
      <c r="C254" s="7" t="n"/>
      <c r="D254" s="7" t="n"/>
      <c r="E254" s="8" t="n"/>
      <c r="F254" s="7" t="n"/>
      <c r="G254" s="7" t="n"/>
      <c r="H254" s="8" t="n"/>
      <c r="I254" s="7" t="n"/>
      <c r="J254" s="8" t="n"/>
      <c r="K254" s="7" t="n"/>
      <c r="L254" s="8" t="n"/>
      <c r="M254" s="7" t="n"/>
      <c r="N254" s="8" t="n"/>
      <c r="O254" s="9" t="n"/>
      <c r="P254" s="9" t="n"/>
      <c r="Q254" s="7" t="n"/>
      <c r="R254" s="8" t="n"/>
    </row>
    <row r="255" ht="22" customHeight="1">
      <c r="A255" s="6" t="n"/>
      <c r="B255" s="7" t="n"/>
      <c r="C255" s="7" t="n"/>
      <c r="D255" s="7" t="n"/>
      <c r="E255" s="8" t="n"/>
      <c r="F255" s="7" t="n"/>
      <c r="G255" s="7" t="n"/>
      <c r="H255" s="8" t="n"/>
      <c r="I255" s="7" t="n"/>
      <c r="J255" s="8" t="n"/>
      <c r="K255" s="7" t="n"/>
      <c r="L255" s="8" t="n"/>
      <c r="M255" s="7" t="n"/>
      <c r="N255" s="8" t="n"/>
      <c r="O255" s="9" t="n"/>
      <c r="P255" s="9" t="n"/>
      <c r="Q255" s="7" t="n"/>
      <c r="R255" s="8" t="n"/>
    </row>
    <row r="256" ht="22" customHeight="1">
      <c r="A256" s="6" t="n"/>
      <c r="B256" s="7" t="n"/>
      <c r="C256" s="7" t="n"/>
      <c r="D256" s="7" t="n"/>
      <c r="E256" s="8" t="n"/>
      <c r="F256" s="7" t="n"/>
      <c r="G256" s="7" t="n"/>
      <c r="H256" s="8" t="n"/>
      <c r="I256" s="7" t="n"/>
      <c r="J256" s="8" t="n"/>
      <c r="K256" s="7" t="n"/>
      <c r="L256" s="8" t="n"/>
      <c r="M256" s="7" t="n"/>
      <c r="N256" s="8" t="n"/>
      <c r="O256" s="9" t="n"/>
      <c r="P256" s="9" t="n"/>
      <c r="Q256" s="7" t="n"/>
      <c r="R256" s="8" t="n"/>
    </row>
    <row r="257" ht="22" customHeight="1">
      <c r="A257" s="6" t="n"/>
      <c r="B257" s="7" t="n"/>
      <c r="C257" s="7" t="n"/>
      <c r="D257" s="7" t="n"/>
      <c r="E257" s="8" t="n"/>
      <c r="F257" s="7" t="n"/>
      <c r="G257" s="7" t="n"/>
      <c r="H257" s="8" t="n"/>
      <c r="I257" s="7" t="n"/>
      <c r="J257" s="8" t="n"/>
      <c r="K257" s="7" t="n"/>
      <c r="L257" s="8" t="n"/>
      <c r="M257" s="7" t="n"/>
      <c r="N257" s="8" t="n"/>
      <c r="O257" s="9" t="n"/>
      <c r="P257" s="9" t="n"/>
      <c r="Q257" s="7" t="n"/>
      <c r="R257" s="8" t="n"/>
    </row>
    <row r="258" ht="22" customHeight="1">
      <c r="A258" s="6" t="n"/>
      <c r="B258" s="7" t="n"/>
      <c r="C258" s="7" t="n"/>
      <c r="D258" s="7" t="n"/>
      <c r="E258" s="8" t="n"/>
      <c r="F258" s="7" t="n"/>
      <c r="G258" s="7" t="n"/>
      <c r="H258" s="8" t="n"/>
      <c r="I258" s="7" t="n"/>
      <c r="J258" s="8" t="n"/>
      <c r="K258" s="7" t="n"/>
      <c r="L258" s="8" t="n"/>
      <c r="M258" s="7" t="n"/>
      <c r="N258" s="8" t="n"/>
      <c r="O258" s="9" t="n"/>
      <c r="P258" s="9" t="n"/>
      <c r="Q258" s="7" t="n"/>
      <c r="R258" s="8" t="n"/>
    </row>
    <row r="259" ht="22" customHeight="1">
      <c r="A259" s="6" t="n"/>
      <c r="B259" s="7" t="n"/>
      <c r="C259" s="7" t="n"/>
      <c r="D259" s="7" t="n"/>
      <c r="E259" s="8" t="n"/>
      <c r="F259" s="7" t="n"/>
      <c r="G259" s="7" t="n"/>
      <c r="H259" s="8" t="n"/>
      <c r="I259" s="7" t="n"/>
      <c r="J259" s="8" t="n"/>
      <c r="K259" s="7" t="n"/>
      <c r="L259" s="8" t="n"/>
      <c r="M259" s="7" t="n"/>
      <c r="N259" s="8" t="n"/>
      <c r="O259" s="9" t="n"/>
      <c r="P259" s="9" t="n"/>
      <c r="Q259" s="7" t="n"/>
      <c r="R259" s="8" t="n"/>
    </row>
    <row r="260" ht="22" customHeight="1">
      <c r="A260" s="6" t="n"/>
      <c r="B260" s="7" t="n"/>
      <c r="C260" s="7" t="n"/>
      <c r="D260" s="7" t="n"/>
      <c r="E260" s="8" t="n"/>
      <c r="F260" s="7" t="n"/>
      <c r="G260" s="7" t="n"/>
      <c r="H260" s="8" t="n"/>
      <c r="I260" s="7" t="n"/>
      <c r="J260" s="8" t="n"/>
      <c r="K260" s="7" t="n"/>
      <c r="L260" s="8" t="n"/>
      <c r="M260" s="7" t="n"/>
      <c r="N260" s="8" t="n"/>
      <c r="O260" s="9" t="n"/>
      <c r="P260" s="9" t="n"/>
      <c r="Q260" s="7" t="n"/>
      <c r="R260" s="8" t="n"/>
    </row>
    <row r="261" ht="22" customHeight="1">
      <c r="A261" s="6" t="n"/>
      <c r="B261" s="7" t="n"/>
      <c r="C261" s="7" t="n"/>
      <c r="D261" s="7" t="n"/>
      <c r="E261" s="8" t="n"/>
      <c r="F261" s="7" t="n"/>
      <c r="G261" s="7" t="n"/>
      <c r="H261" s="8" t="n"/>
      <c r="I261" s="7" t="n"/>
      <c r="J261" s="8" t="n"/>
      <c r="K261" s="7" t="n"/>
      <c r="L261" s="8" t="n"/>
      <c r="M261" s="7" t="n"/>
      <c r="N261" s="8" t="n"/>
      <c r="O261" s="9" t="n"/>
      <c r="P261" s="9" t="n"/>
      <c r="Q261" s="7" t="n"/>
      <c r="R261" s="8" t="n"/>
    </row>
    <row r="262" ht="22" customHeight="1">
      <c r="A262" s="6" t="n"/>
      <c r="B262" s="7" t="n"/>
      <c r="C262" s="7" t="n"/>
      <c r="D262" s="7" t="n"/>
      <c r="E262" s="8" t="n"/>
      <c r="F262" s="7" t="n"/>
      <c r="G262" s="7" t="n"/>
      <c r="H262" s="8" t="n"/>
      <c r="I262" s="7" t="n"/>
      <c r="J262" s="8" t="n"/>
      <c r="K262" s="7" t="n"/>
      <c r="L262" s="8" t="n"/>
      <c r="M262" s="7" t="n"/>
      <c r="N262" s="8" t="n"/>
      <c r="O262" s="9" t="n"/>
      <c r="P262" s="9" t="n"/>
      <c r="Q262" s="7" t="n"/>
      <c r="R262" s="8" t="n"/>
    </row>
    <row r="263" ht="22" customHeight="1">
      <c r="A263" s="6" t="n"/>
      <c r="B263" s="7" t="n"/>
      <c r="C263" s="7" t="n"/>
      <c r="D263" s="7" t="n"/>
      <c r="E263" s="8" t="n"/>
      <c r="F263" s="7" t="n"/>
      <c r="G263" s="7" t="n"/>
      <c r="H263" s="8" t="n"/>
      <c r="I263" s="7" t="n"/>
      <c r="J263" s="8" t="n"/>
      <c r="K263" s="7" t="n"/>
      <c r="L263" s="8" t="n"/>
      <c r="M263" s="7" t="n"/>
      <c r="N263" s="8" t="n"/>
      <c r="O263" s="9" t="n"/>
      <c r="P263" s="9" t="n"/>
      <c r="Q263" s="7" t="n"/>
      <c r="R263" s="8" t="n"/>
    </row>
    <row r="264" ht="22" customHeight="1">
      <c r="A264" s="6" t="n"/>
      <c r="B264" s="7" t="n"/>
      <c r="C264" s="7" t="n"/>
      <c r="D264" s="7" t="n"/>
      <c r="E264" s="8" t="n"/>
      <c r="F264" s="7" t="n"/>
      <c r="G264" s="7" t="n"/>
      <c r="H264" s="8" t="n"/>
      <c r="I264" s="7" t="n"/>
      <c r="J264" s="8" t="n"/>
      <c r="K264" s="7" t="n"/>
      <c r="L264" s="8" t="n"/>
      <c r="M264" s="7" t="n"/>
      <c r="N264" s="8" t="n"/>
      <c r="O264" s="9" t="n"/>
      <c r="P264" s="9" t="n"/>
      <c r="Q264" s="7" t="n"/>
      <c r="R264" s="8" t="n"/>
    </row>
    <row r="265" ht="22" customHeight="1">
      <c r="A265" s="6" t="n"/>
      <c r="B265" s="7" t="n"/>
      <c r="C265" s="7" t="n"/>
      <c r="D265" s="7" t="n"/>
      <c r="E265" s="8" t="n"/>
      <c r="F265" s="7" t="n"/>
      <c r="G265" s="7" t="n"/>
      <c r="H265" s="8" t="n"/>
      <c r="I265" s="7" t="n"/>
      <c r="J265" s="8" t="n"/>
      <c r="K265" s="7" t="n"/>
      <c r="L265" s="8" t="n"/>
      <c r="M265" s="7" t="n"/>
      <c r="N265" s="8" t="n"/>
      <c r="O265" s="9" t="n"/>
      <c r="P265" s="9" t="n"/>
      <c r="Q265" s="7" t="n"/>
      <c r="R265" s="8" t="n"/>
    </row>
    <row r="266" ht="22" customHeight="1">
      <c r="A266" s="6" t="n"/>
      <c r="B266" s="7" t="n"/>
      <c r="C266" s="7" t="n"/>
      <c r="D266" s="7" t="n"/>
      <c r="E266" s="8" t="n"/>
      <c r="F266" s="7" t="n"/>
      <c r="G266" s="7" t="n"/>
      <c r="H266" s="8" t="n"/>
      <c r="I266" s="7" t="n"/>
      <c r="J266" s="8" t="n"/>
      <c r="K266" s="7" t="n"/>
      <c r="L266" s="8" t="n"/>
      <c r="M266" s="7" t="n"/>
      <c r="N266" s="8" t="n"/>
      <c r="O266" s="9" t="n"/>
      <c r="P266" s="9" t="n"/>
      <c r="Q266" s="7" t="n"/>
      <c r="R266" s="8" t="n"/>
    </row>
    <row r="267" ht="22" customHeight="1">
      <c r="A267" s="6" t="n"/>
      <c r="B267" s="7" t="n"/>
      <c r="C267" s="7" t="n"/>
      <c r="D267" s="7" t="n"/>
      <c r="E267" s="8" t="n"/>
      <c r="F267" s="7" t="n"/>
      <c r="G267" s="7" t="n"/>
      <c r="H267" s="8" t="n"/>
      <c r="I267" s="7" t="n"/>
      <c r="J267" s="8" t="n"/>
      <c r="K267" s="7" t="n"/>
      <c r="L267" s="8" t="n"/>
      <c r="M267" s="7" t="n"/>
      <c r="N267" s="8" t="n"/>
      <c r="O267" s="9" t="n"/>
      <c r="P267" s="9" t="n"/>
      <c r="Q267" s="7" t="n"/>
      <c r="R267" s="8" t="n"/>
    </row>
    <row r="268" ht="22" customHeight="1">
      <c r="A268" s="6" t="n"/>
      <c r="B268" s="7" t="n"/>
      <c r="C268" s="7" t="n"/>
      <c r="D268" s="7" t="n"/>
      <c r="E268" s="8" t="n"/>
      <c r="F268" s="7" t="n"/>
      <c r="G268" s="7" t="n"/>
      <c r="H268" s="8" t="n"/>
      <c r="I268" s="7" t="n"/>
      <c r="J268" s="8" t="n"/>
      <c r="K268" s="7" t="n"/>
      <c r="L268" s="8" t="n"/>
      <c r="M268" s="7" t="n"/>
      <c r="N268" s="8" t="n"/>
      <c r="O268" s="9" t="n"/>
      <c r="P268" s="9" t="n"/>
      <c r="Q268" s="7" t="n"/>
      <c r="R268" s="8" t="n"/>
    </row>
    <row r="269" ht="22" customHeight="1">
      <c r="A269" s="6" t="n"/>
      <c r="B269" s="7" t="n"/>
      <c r="C269" s="7" t="n"/>
      <c r="D269" s="7" t="n"/>
      <c r="E269" s="8" t="n"/>
      <c r="F269" s="7" t="n"/>
      <c r="G269" s="7" t="n"/>
      <c r="H269" s="8" t="n"/>
      <c r="I269" s="7" t="n"/>
      <c r="J269" s="8" t="n"/>
      <c r="K269" s="7" t="n"/>
      <c r="L269" s="8" t="n"/>
      <c r="M269" s="7" t="n"/>
      <c r="N269" s="8" t="n"/>
      <c r="O269" s="9" t="n"/>
      <c r="P269" s="9" t="n"/>
      <c r="Q269" s="7" t="n"/>
      <c r="R269" s="8" t="n"/>
    </row>
    <row r="270" ht="22" customHeight="1">
      <c r="A270" s="6" t="n"/>
      <c r="B270" s="7" t="n"/>
      <c r="C270" s="7" t="n"/>
      <c r="D270" s="7" t="n"/>
      <c r="E270" s="8" t="n"/>
      <c r="F270" s="7" t="n"/>
      <c r="G270" s="7" t="n"/>
      <c r="H270" s="8" t="n"/>
      <c r="I270" s="7" t="n"/>
      <c r="J270" s="8" t="n"/>
      <c r="K270" s="7" t="n"/>
      <c r="L270" s="8" t="n"/>
      <c r="M270" s="7" t="n"/>
      <c r="N270" s="8" t="n"/>
      <c r="O270" s="9" t="n"/>
      <c r="P270" s="9" t="n"/>
      <c r="Q270" s="7" t="n"/>
      <c r="R270" s="8" t="n"/>
    </row>
    <row r="271" ht="22" customHeight="1">
      <c r="A271" s="6" t="n"/>
      <c r="B271" s="7" t="n"/>
      <c r="C271" s="7" t="n"/>
      <c r="D271" s="7" t="n"/>
      <c r="E271" s="8" t="n"/>
      <c r="F271" s="7" t="n"/>
      <c r="G271" s="7" t="n"/>
      <c r="H271" s="8" t="n"/>
      <c r="I271" s="7" t="n"/>
      <c r="J271" s="8" t="n"/>
      <c r="K271" s="7" t="n"/>
      <c r="L271" s="8" t="n"/>
      <c r="M271" s="7" t="n"/>
      <c r="N271" s="8" t="n"/>
      <c r="O271" s="9" t="n"/>
      <c r="P271" s="9" t="n"/>
      <c r="Q271" s="7" t="n"/>
      <c r="R271" s="8" t="n"/>
    </row>
    <row r="272" ht="22" customHeight="1">
      <c r="A272" s="6" t="n"/>
      <c r="B272" s="7" t="n"/>
      <c r="C272" s="7" t="n"/>
      <c r="D272" s="7" t="n"/>
      <c r="E272" s="8" t="n"/>
      <c r="F272" s="7" t="n"/>
      <c r="G272" s="7" t="n"/>
      <c r="H272" s="8" t="n"/>
      <c r="I272" s="7" t="n"/>
      <c r="J272" s="8" t="n"/>
      <c r="K272" s="7" t="n"/>
      <c r="L272" s="8" t="n"/>
      <c r="M272" s="7" t="n"/>
      <c r="N272" s="8" t="n"/>
      <c r="O272" s="9" t="n"/>
      <c r="P272" s="9" t="n"/>
      <c r="Q272" s="7" t="n"/>
      <c r="R272" s="8" t="n"/>
    </row>
    <row r="273" ht="22" customHeight="1">
      <c r="A273" s="6" t="n"/>
      <c r="B273" s="7" t="n"/>
      <c r="C273" s="7" t="n"/>
      <c r="D273" s="7" t="n"/>
      <c r="E273" s="8" t="n"/>
      <c r="F273" s="7" t="n"/>
      <c r="G273" s="7" t="n"/>
      <c r="H273" s="8" t="n"/>
      <c r="I273" s="7" t="n"/>
      <c r="J273" s="8" t="n"/>
      <c r="K273" s="7" t="n"/>
      <c r="L273" s="8" t="n"/>
      <c r="M273" s="7" t="n"/>
      <c r="N273" s="8" t="n"/>
      <c r="O273" s="9" t="n"/>
      <c r="P273" s="9" t="n"/>
      <c r="Q273" s="7" t="n"/>
      <c r="R273" s="8" t="n"/>
    </row>
    <row r="274" ht="22" customHeight="1">
      <c r="A274" s="6" t="n"/>
      <c r="B274" s="7" t="n"/>
      <c r="C274" s="7" t="n"/>
      <c r="D274" s="7" t="n"/>
      <c r="E274" s="8" t="n"/>
      <c r="F274" s="7" t="n"/>
      <c r="G274" s="7" t="n"/>
      <c r="H274" s="8" t="n"/>
      <c r="I274" s="7" t="n"/>
      <c r="J274" s="8" t="n"/>
      <c r="K274" s="7" t="n"/>
      <c r="L274" s="8" t="n"/>
      <c r="M274" s="7" t="n"/>
      <c r="N274" s="8" t="n"/>
      <c r="O274" s="9" t="n"/>
      <c r="P274" s="9" t="n"/>
      <c r="Q274" s="7" t="n"/>
      <c r="R274" s="8" t="n"/>
    </row>
    <row r="275" ht="22" customHeight="1">
      <c r="A275" s="6" t="n"/>
      <c r="B275" s="7" t="n"/>
      <c r="C275" s="7" t="n"/>
      <c r="D275" s="7" t="n"/>
      <c r="E275" s="8" t="n"/>
      <c r="F275" s="7" t="n"/>
      <c r="G275" s="7" t="n"/>
      <c r="H275" s="8" t="n"/>
      <c r="I275" s="7" t="n"/>
      <c r="J275" s="8" t="n"/>
      <c r="K275" s="7" t="n"/>
      <c r="L275" s="8" t="n"/>
      <c r="M275" s="7" t="n"/>
      <c r="N275" s="8" t="n"/>
      <c r="O275" s="9" t="n"/>
      <c r="P275" s="9" t="n"/>
      <c r="Q275" s="7" t="n"/>
      <c r="R275" s="8" t="n"/>
    </row>
    <row r="276" ht="22" customHeight="1">
      <c r="A276" s="6" t="n"/>
      <c r="B276" s="7" t="n"/>
      <c r="C276" s="7" t="n"/>
      <c r="D276" s="7" t="n"/>
      <c r="E276" s="8" t="n"/>
      <c r="F276" s="7" t="n"/>
      <c r="G276" s="7" t="n"/>
      <c r="H276" s="8" t="n"/>
      <c r="I276" s="7" t="n"/>
      <c r="J276" s="8" t="n"/>
      <c r="K276" s="7" t="n"/>
      <c r="L276" s="8" t="n"/>
      <c r="M276" s="7" t="n"/>
      <c r="N276" s="8" t="n"/>
      <c r="O276" s="9" t="n"/>
      <c r="P276" s="9" t="n"/>
      <c r="Q276" s="7" t="n"/>
      <c r="R276" s="8" t="n"/>
    </row>
    <row r="277" ht="22" customHeight="1">
      <c r="A277" s="6" t="n"/>
      <c r="B277" s="7" t="n"/>
      <c r="C277" s="7" t="n"/>
      <c r="D277" s="7" t="n"/>
      <c r="E277" s="8" t="n"/>
      <c r="F277" s="7" t="n"/>
      <c r="G277" s="7" t="n"/>
      <c r="H277" s="8" t="n"/>
      <c r="I277" s="7" t="n"/>
      <c r="J277" s="8" t="n"/>
      <c r="K277" s="7" t="n"/>
      <c r="L277" s="8" t="n"/>
      <c r="M277" s="7" t="n"/>
      <c r="N277" s="8" t="n"/>
      <c r="O277" s="9" t="n"/>
      <c r="P277" s="9" t="n"/>
      <c r="Q277" s="7" t="n"/>
      <c r="R277" s="8" t="n"/>
    </row>
    <row r="278" ht="22" customHeight="1">
      <c r="A278" s="6" t="n"/>
      <c r="B278" s="7" t="n"/>
      <c r="C278" s="7" t="n"/>
      <c r="D278" s="7" t="n"/>
      <c r="E278" s="8" t="n"/>
      <c r="F278" s="7" t="n"/>
      <c r="G278" s="7" t="n"/>
      <c r="H278" s="8" t="n"/>
      <c r="I278" s="7" t="n"/>
      <c r="J278" s="8" t="n"/>
      <c r="K278" s="7" t="n"/>
      <c r="L278" s="8" t="n"/>
      <c r="M278" s="7" t="n"/>
      <c r="N278" s="8" t="n"/>
      <c r="O278" s="9" t="n"/>
      <c r="P278" s="9" t="n"/>
      <c r="Q278" s="7" t="n"/>
      <c r="R278" s="8" t="n"/>
    </row>
    <row r="279" ht="22" customHeight="1">
      <c r="A279" s="6" t="n"/>
      <c r="B279" s="7" t="n"/>
      <c r="C279" s="7" t="n"/>
      <c r="D279" s="7" t="n"/>
      <c r="E279" s="8" t="n"/>
      <c r="F279" s="7" t="n"/>
      <c r="G279" s="7" t="n"/>
      <c r="H279" s="8" t="n"/>
      <c r="I279" s="7" t="n"/>
      <c r="J279" s="8" t="n"/>
      <c r="K279" s="7" t="n"/>
      <c r="L279" s="8" t="n"/>
      <c r="M279" s="7" t="n"/>
      <c r="N279" s="8" t="n"/>
      <c r="O279" s="9" t="n"/>
      <c r="P279" s="9" t="n"/>
      <c r="Q279" s="7" t="n"/>
      <c r="R279" s="8" t="n"/>
    </row>
    <row r="280" ht="22" customHeight="1">
      <c r="A280" s="6" t="n"/>
      <c r="B280" s="7" t="n"/>
      <c r="C280" s="7" t="n"/>
      <c r="D280" s="7" t="n"/>
      <c r="E280" s="8" t="n"/>
      <c r="F280" s="7" t="n"/>
      <c r="G280" s="7" t="n"/>
      <c r="H280" s="8" t="n"/>
      <c r="I280" s="7" t="n"/>
      <c r="J280" s="8" t="n"/>
      <c r="K280" s="7" t="n"/>
      <c r="L280" s="8" t="n"/>
      <c r="M280" s="7" t="n"/>
      <c r="N280" s="8" t="n"/>
      <c r="O280" s="9" t="n"/>
      <c r="P280" s="9" t="n"/>
      <c r="Q280" s="7" t="n"/>
      <c r="R280" s="8" t="n"/>
    </row>
    <row r="281" ht="22" customHeight="1">
      <c r="A281" s="6" t="n"/>
      <c r="B281" s="7" t="n"/>
      <c r="C281" s="7" t="n"/>
      <c r="D281" s="7" t="n"/>
      <c r="E281" s="8" t="n"/>
      <c r="F281" s="7" t="n"/>
      <c r="G281" s="7" t="n"/>
      <c r="H281" s="8" t="n"/>
      <c r="I281" s="7" t="n"/>
      <c r="J281" s="8" t="n"/>
      <c r="K281" s="7" t="n"/>
      <c r="L281" s="8" t="n"/>
      <c r="M281" s="7" t="n"/>
      <c r="N281" s="8" t="n"/>
      <c r="O281" s="9" t="n"/>
      <c r="P281" s="9" t="n"/>
      <c r="Q281" s="7" t="n"/>
      <c r="R281" s="8" t="n"/>
    </row>
    <row r="282" ht="22" customHeight="1">
      <c r="A282" s="6" t="n"/>
      <c r="B282" s="7" t="n"/>
      <c r="C282" s="7" t="n"/>
      <c r="D282" s="7" t="n"/>
      <c r="E282" s="8" t="n"/>
      <c r="F282" s="7" t="n"/>
      <c r="G282" s="7" t="n"/>
      <c r="H282" s="8" t="n"/>
      <c r="I282" s="7" t="n"/>
      <c r="J282" s="8" t="n"/>
      <c r="K282" s="7" t="n"/>
      <c r="L282" s="8" t="n"/>
      <c r="M282" s="7" t="n"/>
      <c r="N282" s="8" t="n"/>
      <c r="O282" s="9" t="n"/>
      <c r="P282" s="9" t="n"/>
      <c r="Q282" s="7" t="n"/>
      <c r="R282" s="8" t="n"/>
    </row>
    <row r="283" ht="22" customHeight="1">
      <c r="A283" s="6" t="n"/>
      <c r="B283" s="7" t="n"/>
      <c r="C283" s="7" t="n"/>
      <c r="D283" s="7" t="n"/>
      <c r="E283" s="8" t="n"/>
      <c r="F283" s="7" t="n"/>
      <c r="G283" s="7" t="n"/>
      <c r="H283" s="8" t="n"/>
      <c r="I283" s="7" t="n"/>
      <c r="J283" s="8" t="n"/>
      <c r="K283" s="7" t="n"/>
      <c r="L283" s="8" t="n"/>
      <c r="M283" s="7" t="n"/>
      <c r="N283" s="8" t="n"/>
      <c r="O283" s="9" t="n"/>
      <c r="P283" s="9" t="n"/>
      <c r="Q283" s="7" t="n"/>
      <c r="R283" s="8" t="n"/>
    </row>
    <row r="284" ht="22" customHeight="1">
      <c r="A284" s="6" t="n"/>
      <c r="B284" s="7" t="n"/>
      <c r="C284" s="7" t="n"/>
      <c r="D284" s="7" t="n"/>
      <c r="E284" s="8" t="n"/>
      <c r="F284" s="7" t="n"/>
      <c r="G284" s="7" t="n"/>
      <c r="H284" s="8" t="n"/>
      <c r="I284" s="7" t="n"/>
      <c r="J284" s="8" t="n"/>
      <c r="K284" s="7" t="n"/>
      <c r="L284" s="8" t="n"/>
      <c r="M284" s="7" t="n"/>
      <c r="N284" s="8" t="n"/>
      <c r="O284" s="9" t="n"/>
      <c r="P284" s="9" t="n"/>
      <c r="Q284" s="7" t="n"/>
      <c r="R284" s="8" t="n"/>
    </row>
    <row r="285" ht="22" customHeight="1">
      <c r="A285" s="6" t="n"/>
      <c r="B285" s="7" t="n"/>
      <c r="C285" s="7" t="n"/>
      <c r="D285" s="7" t="n"/>
      <c r="E285" s="8" t="n"/>
      <c r="F285" s="7" t="n"/>
      <c r="G285" s="7" t="n"/>
      <c r="H285" s="8" t="n"/>
      <c r="I285" s="7" t="n"/>
      <c r="J285" s="8" t="n"/>
      <c r="K285" s="7" t="n"/>
      <c r="L285" s="8" t="n"/>
      <c r="M285" s="7" t="n"/>
      <c r="N285" s="8" t="n"/>
      <c r="O285" s="9" t="n"/>
      <c r="P285" s="9" t="n"/>
      <c r="Q285" s="7" t="n"/>
      <c r="R285" s="8" t="n"/>
    </row>
    <row r="286" ht="22" customHeight="1">
      <c r="A286" s="6" t="n"/>
      <c r="B286" s="7" t="n"/>
      <c r="C286" s="7" t="n"/>
      <c r="D286" s="7" t="n"/>
      <c r="E286" s="8" t="n"/>
      <c r="F286" s="7" t="n"/>
      <c r="G286" s="7" t="n"/>
      <c r="H286" s="8" t="n"/>
      <c r="I286" s="7" t="n"/>
      <c r="J286" s="8" t="n"/>
      <c r="K286" s="7" t="n"/>
      <c r="L286" s="8" t="n"/>
      <c r="M286" s="7" t="n"/>
      <c r="N286" s="8" t="n"/>
      <c r="O286" s="9" t="n"/>
      <c r="P286" s="9" t="n"/>
      <c r="Q286" s="7" t="n"/>
      <c r="R286" s="8" t="n"/>
    </row>
    <row r="287" ht="22" customHeight="1">
      <c r="A287" s="6" t="n"/>
      <c r="B287" s="7" t="n"/>
      <c r="C287" s="7" t="n"/>
      <c r="D287" s="7" t="n"/>
      <c r="E287" s="8" t="n"/>
      <c r="F287" s="7" t="n"/>
      <c r="G287" s="7" t="n"/>
      <c r="H287" s="8" t="n"/>
      <c r="I287" s="7" t="n"/>
      <c r="J287" s="8" t="n"/>
      <c r="K287" s="7" t="n"/>
      <c r="L287" s="8" t="n"/>
      <c r="M287" s="7" t="n"/>
      <c r="N287" s="8" t="n"/>
      <c r="O287" s="9" t="n"/>
      <c r="P287" s="9" t="n"/>
      <c r="Q287" s="7" t="n"/>
      <c r="R287" s="8" t="n"/>
    </row>
    <row r="288" ht="22" customHeight="1">
      <c r="A288" s="6" t="n"/>
      <c r="B288" s="7" t="n"/>
      <c r="C288" s="7" t="n"/>
      <c r="D288" s="7" t="n"/>
      <c r="E288" s="8" t="n"/>
      <c r="F288" s="7" t="n"/>
      <c r="G288" s="7" t="n"/>
      <c r="H288" s="8" t="n"/>
      <c r="I288" s="7" t="n"/>
      <c r="J288" s="8" t="n"/>
      <c r="K288" s="7" t="n"/>
      <c r="L288" s="8" t="n"/>
      <c r="M288" s="7" t="n"/>
      <c r="N288" s="8" t="n"/>
      <c r="O288" s="9" t="n"/>
      <c r="P288" s="9" t="n"/>
      <c r="Q288" s="7" t="n"/>
      <c r="R288" s="8" t="n"/>
    </row>
    <row r="289" ht="22" customHeight="1">
      <c r="A289" s="6" t="n"/>
      <c r="B289" s="7" t="n"/>
      <c r="C289" s="7" t="n"/>
      <c r="D289" s="7" t="n"/>
      <c r="E289" s="8" t="n"/>
      <c r="F289" s="7" t="n"/>
      <c r="G289" s="7" t="n"/>
      <c r="H289" s="8" t="n"/>
      <c r="I289" s="7" t="n"/>
      <c r="J289" s="8" t="n"/>
      <c r="K289" s="7" t="n"/>
      <c r="L289" s="8" t="n"/>
      <c r="M289" s="7" t="n"/>
      <c r="N289" s="8" t="n"/>
      <c r="O289" s="9" t="n"/>
      <c r="P289" s="9" t="n"/>
      <c r="Q289" s="7" t="n"/>
      <c r="R289" s="8" t="n"/>
    </row>
    <row r="290" ht="22" customHeight="1">
      <c r="A290" s="6" t="n"/>
      <c r="B290" s="7" t="n"/>
      <c r="C290" s="7" t="n"/>
      <c r="D290" s="7" t="n"/>
      <c r="E290" s="8" t="n"/>
      <c r="F290" s="7" t="n"/>
      <c r="G290" s="7" t="n"/>
      <c r="H290" s="8" t="n"/>
      <c r="I290" s="7" t="n"/>
      <c r="J290" s="8" t="n"/>
      <c r="K290" s="7" t="n"/>
      <c r="L290" s="8" t="n"/>
      <c r="M290" s="7" t="n"/>
      <c r="N290" s="8" t="n"/>
      <c r="O290" s="9" t="n"/>
      <c r="P290" s="9" t="n"/>
      <c r="Q290" s="7" t="n"/>
      <c r="R290" s="8" t="n"/>
    </row>
    <row r="291" ht="22" customHeight="1">
      <c r="A291" s="6" t="n"/>
      <c r="B291" s="7" t="n"/>
      <c r="C291" s="7" t="n"/>
      <c r="D291" s="7" t="n"/>
      <c r="E291" s="8" t="n"/>
      <c r="F291" s="7" t="n"/>
      <c r="G291" s="7" t="n"/>
      <c r="H291" s="8" t="n"/>
      <c r="I291" s="7" t="n"/>
      <c r="J291" s="8" t="n"/>
      <c r="K291" s="7" t="n"/>
      <c r="L291" s="8" t="n"/>
      <c r="M291" s="7" t="n"/>
      <c r="N291" s="8" t="n"/>
      <c r="O291" s="9" t="n"/>
      <c r="P291" s="9" t="n"/>
      <c r="Q291" s="7" t="n"/>
      <c r="R291" s="8" t="n"/>
    </row>
    <row r="292" ht="22" customHeight="1">
      <c r="A292" s="6" t="n"/>
      <c r="B292" s="7" t="n"/>
      <c r="C292" s="7" t="n"/>
      <c r="D292" s="7" t="n"/>
      <c r="E292" s="8" t="n"/>
      <c r="F292" s="7" t="n"/>
      <c r="G292" s="7" t="n"/>
      <c r="H292" s="8" t="n"/>
      <c r="I292" s="7" t="n"/>
      <c r="J292" s="8" t="n"/>
      <c r="K292" s="7" t="n"/>
      <c r="L292" s="8" t="n"/>
      <c r="M292" s="7" t="n"/>
      <c r="N292" s="8" t="n"/>
      <c r="O292" s="9" t="n"/>
      <c r="P292" s="9" t="n"/>
      <c r="Q292" s="7" t="n"/>
      <c r="R292" s="8" t="n"/>
    </row>
    <row r="293" ht="22" customHeight="1">
      <c r="A293" s="6" t="n"/>
      <c r="B293" s="7" t="n"/>
      <c r="C293" s="7" t="n"/>
      <c r="D293" s="7" t="n"/>
      <c r="E293" s="8" t="n"/>
      <c r="F293" s="7" t="n"/>
      <c r="G293" s="7" t="n"/>
      <c r="H293" s="8" t="n"/>
      <c r="I293" s="7" t="n"/>
      <c r="J293" s="8" t="n"/>
      <c r="K293" s="7" t="n"/>
      <c r="L293" s="8" t="n"/>
      <c r="M293" s="7" t="n"/>
      <c r="N293" s="8" t="n"/>
      <c r="O293" s="9" t="n"/>
      <c r="P293" s="9" t="n"/>
      <c r="Q293" s="7" t="n"/>
      <c r="R293" s="8" t="n"/>
    </row>
    <row r="294" ht="22" customHeight="1">
      <c r="A294" s="6" t="n"/>
      <c r="B294" s="7" t="n"/>
      <c r="C294" s="7" t="n"/>
      <c r="D294" s="7" t="n"/>
      <c r="E294" s="8" t="n"/>
      <c r="F294" s="7" t="n"/>
      <c r="G294" s="7" t="n"/>
      <c r="H294" s="8" t="n"/>
      <c r="I294" s="7" t="n"/>
      <c r="J294" s="8" t="n"/>
      <c r="K294" s="7" t="n"/>
      <c r="L294" s="8" t="n"/>
      <c r="M294" s="7" t="n"/>
      <c r="N294" s="8" t="n"/>
      <c r="O294" s="9" t="n"/>
      <c r="P294" s="9" t="n"/>
      <c r="Q294" s="7" t="n"/>
      <c r="R294" s="8" t="n"/>
    </row>
    <row r="295" ht="22" customHeight="1">
      <c r="A295" s="6" t="n"/>
      <c r="B295" s="7" t="n"/>
      <c r="C295" s="7" t="n"/>
      <c r="D295" s="7" t="n"/>
      <c r="E295" s="8" t="n"/>
      <c r="F295" s="7" t="n"/>
      <c r="G295" s="7" t="n"/>
      <c r="H295" s="8" t="n"/>
      <c r="I295" s="7" t="n"/>
      <c r="J295" s="8" t="n"/>
      <c r="K295" s="7" t="n"/>
      <c r="L295" s="8" t="n"/>
      <c r="M295" s="7" t="n"/>
      <c r="N295" s="8" t="n"/>
      <c r="O295" s="9" t="n"/>
      <c r="P295" s="9" t="n"/>
      <c r="Q295" s="7" t="n"/>
      <c r="R295" s="8" t="n"/>
    </row>
    <row r="296" ht="22" customHeight="1">
      <c r="A296" s="6" t="n"/>
      <c r="B296" s="7" t="n"/>
      <c r="C296" s="7" t="n"/>
      <c r="D296" s="7" t="n"/>
      <c r="E296" s="8" t="n"/>
      <c r="F296" s="7" t="n"/>
      <c r="G296" s="7" t="n"/>
      <c r="H296" s="8" t="n"/>
      <c r="I296" s="7" t="n"/>
      <c r="J296" s="8" t="n"/>
      <c r="K296" s="7" t="n"/>
      <c r="L296" s="8" t="n"/>
      <c r="M296" s="7" t="n"/>
      <c r="N296" s="8" t="n"/>
      <c r="O296" s="9" t="n"/>
      <c r="P296" s="9" t="n"/>
      <c r="Q296" s="7" t="n"/>
      <c r="R296" s="8" t="n"/>
    </row>
    <row r="297" ht="22" customHeight="1">
      <c r="A297" s="6" t="n"/>
      <c r="B297" s="7" t="n"/>
      <c r="C297" s="7" t="n"/>
      <c r="D297" s="7" t="n"/>
      <c r="E297" s="8" t="n"/>
      <c r="F297" s="7" t="n"/>
      <c r="G297" s="7" t="n"/>
      <c r="H297" s="8" t="n"/>
      <c r="I297" s="7" t="n"/>
      <c r="J297" s="8" t="n"/>
      <c r="K297" s="7" t="n"/>
      <c r="L297" s="8" t="n"/>
      <c r="M297" s="7" t="n"/>
      <c r="N297" s="8" t="n"/>
      <c r="O297" s="9" t="n"/>
      <c r="P297" s="9" t="n"/>
      <c r="Q297" s="7" t="n"/>
      <c r="R297" s="8" t="n"/>
    </row>
    <row r="298" ht="22" customHeight="1">
      <c r="A298" s="6" t="n"/>
      <c r="B298" s="7" t="n"/>
      <c r="C298" s="7" t="n"/>
      <c r="D298" s="7" t="n"/>
      <c r="E298" s="8" t="n"/>
      <c r="F298" s="7" t="n"/>
      <c r="G298" s="7" t="n"/>
      <c r="H298" s="8" t="n"/>
      <c r="I298" s="7" t="n"/>
      <c r="J298" s="8" t="n"/>
      <c r="K298" s="7" t="n"/>
      <c r="L298" s="8" t="n"/>
      <c r="M298" s="7" t="n"/>
      <c r="N298" s="8" t="n"/>
      <c r="O298" s="9" t="n"/>
      <c r="P298" s="9" t="n"/>
      <c r="Q298" s="7" t="n"/>
      <c r="R298" s="8" t="n"/>
    </row>
    <row r="299" ht="22" customHeight="1">
      <c r="A299" s="6" t="n"/>
      <c r="B299" s="7" t="n"/>
      <c r="C299" s="7" t="n"/>
      <c r="D299" s="7" t="n"/>
      <c r="E299" s="8" t="n"/>
      <c r="F299" s="7" t="n"/>
      <c r="G299" s="7" t="n"/>
      <c r="H299" s="8" t="n"/>
      <c r="I299" s="7" t="n"/>
      <c r="J299" s="8" t="n"/>
      <c r="K299" s="7" t="n"/>
      <c r="L299" s="8" t="n"/>
      <c r="M299" s="7" t="n"/>
      <c r="N299" s="8" t="n"/>
      <c r="O299" s="9" t="n"/>
      <c r="P299" s="9" t="n"/>
      <c r="Q299" s="7" t="n"/>
      <c r="R299" s="8" t="n"/>
    </row>
    <row r="300" ht="22" customHeight="1">
      <c r="A300" s="6" t="n"/>
      <c r="B300" s="7" t="n"/>
      <c r="C300" s="7" t="n"/>
      <c r="D300" s="7" t="n"/>
      <c r="E300" s="8" t="n"/>
      <c r="F300" s="7" t="n"/>
      <c r="G300" s="7" t="n"/>
      <c r="H300" s="8" t="n"/>
      <c r="I300" s="7" t="n"/>
      <c r="J300" s="8" t="n"/>
      <c r="K300" s="7" t="n"/>
      <c r="L300" s="8" t="n"/>
      <c r="M300" s="7" t="n"/>
      <c r="N300" s="8" t="n"/>
      <c r="O300" s="9" t="n"/>
      <c r="P300" s="9" t="n"/>
      <c r="Q300" s="7" t="n"/>
      <c r="R300" s="8" t="n"/>
    </row>
    <row r="301" ht="22" customHeight="1">
      <c r="A301" s="6" t="n"/>
      <c r="B301" s="7" t="n"/>
      <c r="C301" s="7" t="n"/>
      <c r="D301" s="7" t="n"/>
      <c r="E301" s="8" t="n"/>
      <c r="F301" s="7" t="n"/>
      <c r="G301" s="7" t="n"/>
      <c r="H301" s="8" t="n"/>
      <c r="I301" s="7" t="n"/>
      <c r="J301" s="8" t="n"/>
      <c r="K301" s="7" t="n"/>
      <c r="L301" s="8" t="n"/>
      <c r="M301" s="7" t="n"/>
      <c r="N301" s="8" t="n"/>
      <c r="O301" s="9" t="n"/>
      <c r="P301" s="9" t="n"/>
      <c r="Q301" s="7" t="n"/>
      <c r="R301" s="8" t="n"/>
    </row>
    <row r="302" ht="22" customHeight="1">
      <c r="A302" s="6" t="n"/>
      <c r="B302" s="7" t="n"/>
      <c r="C302" s="7" t="n"/>
      <c r="D302" s="7" t="n"/>
      <c r="E302" s="8" t="n"/>
      <c r="F302" s="7" t="n"/>
      <c r="G302" s="7" t="n"/>
      <c r="H302" s="8" t="n"/>
      <c r="I302" s="7" t="n"/>
      <c r="J302" s="8" t="n"/>
      <c r="K302" s="7" t="n"/>
      <c r="L302" s="8" t="n"/>
      <c r="M302" s="7" t="n"/>
      <c r="N302" s="8" t="n"/>
      <c r="O302" s="9" t="n"/>
      <c r="P302" s="9" t="n"/>
      <c r="Q302" s="7" t="n"/>
      <c r="R302" s="8" t="n"/>
    </row>
    <row r="303" ht="22" customHeight="1">
      <c r="A303" s="6" t="n"/>
      <c r="B303" s="7" t="n"/>
      <c r="C303" s="7" t="n"/>
      <c r="D303" s="7" t="n"/>
      <c r="E303" s="8" t="n"/>
      <c r="F303" s="7" t="n"/>
      <c r="G303" s="7" t="n"/>
      <c r="H303" s="8" t="n"/>
      <c r="I303" s="7" t="n"/>
      <c r="J303" s="8" t="n"/>
      <c r="K303" s="7" t="n"/>
      <c r="L303" s="8" t="n"/>
      <c r="M303" s="7" t="n"/>
      <c r="N303" s="8" t="n"/>
      <c r="O303" s="9" t="n"/>
      <c r="P303" s="9" t="n"/>
      <c r="Q303" s="7" t="n"/>
      <c r="R303" s="8" t="n"/>
    </row>
    <row r="304" ht="22" customHeight="1">
      <c r="A304" s="6" t="n"/>
      <c r="B304" s="7" t="n"/>
      <c r="C304" s="7" t="n"/>
      <c r="D304" s="7" t="n"/>
      <c r="E304" s="8" t="n"/>
      <c r="F304" s="7" t="n"/>
      <c r="G304" s="7" t="n"/>
      <c r="H304" s="8" t="n"/>
      <c r="I304" s="7" t="n"/>
      <c r="J304" s="8" t="n"/>
      <c r="K304" s="7" t="n"/>
      <c r="L304" s="8" t="n"/>
      <c r="M304" s="7" t="n"/>
      <c r="N304" s="8" t="n"/>
      <c r="O304" s="9" t="n"/>
      <c r="P304" s="9" t="n"/>
      <c r="Q304" s="7" t="n"/>
      <c r="R304" s="8" t="n"/>
    </row>
  </sheetData>
  <autoFilter ref="A4:R304"/>
  <mergeCells count="2">
    <mergeCell ref="A2:R2"/>
    <mergeCell ref="A1:R1"/>
  </mergeCells>
  <conditionalFormatting sqref="D5:D304">
    <cfRule type="cellIs" priority="1" operator="equal" dxfId="0">
      <formula>"Done"</formula>
    </cfRule>
    <cfRule type="cellIs" priority="2" operator="equal" dxfId="1">
      <formula>"Not done"</formula>
    </cfRule>
  </conditionalFormatting>
  <conditionalFormatting sqref="F5:F304">
    <cfRule type="cellIs" priority="3" operator="equal" dxfId="0">
      <formula>"OK"</formula>
    </cfRule>
    <cfRule type="cellIs" priority="4" operator="equal" dxfId="1">
      <formula>"Needs attention"</formula>
    </cfRule>
    <cfRule type="cellIs" priority="5" operator="equal" dxfId="2">
      <formula>"Not checked"</formula>
    </cfRule>
  </conditionalFormatting>
  <conditionalFormatting sqref="G5:G304">
    <cfRule type="cellIs" priority="6" operator="equal" dxfId="0">
      <formula>"Under 0.5%"</formula>
    </cfRule>
    <cfRule type="cellIs" priority="7" operator="equal" dxfId="0">
      <formula>"0.5%"</formula>
    </cfRule>
    <cfRule type="cellIs" priority="8" operator="equal" dxfId="1">
      <formula>"0.75%"</formula>
    </cfRule>
    <cfRule type="cellIs" priority="9" operator="equal" dxfId="1">
      <formula>"1% or more"</formula>
    </cfRule>
    <cfRule type="cellIs" priority="10" operator="equal" dxfId="2">
      <formula>"Not checked"</formula>
    </cfRule>
  </conditionalFormatting>
  <conditionalFormatting sqref="I5:I304">
    <cfRule type="cellIs" priority="11" operator="equal" dxfId="0">
      <formula>"OK"</formula>
    </cfRule>
    <cfRule type="cellIs" priority="12" operator="equal" dxfId="1">
      <formula>"Needs attention"</formula>
    </cfRule>
    <cfRule type="cellIs" priority="13" operator="equal" dxfId="2">
      <formula>"Not checked"</formula>
    </cfRule>
  </conditionalFormatting>
  <conditionalFormatting sqref="K5:K304">
    <cfRule type="cellIs" priority="14" operator="equal" dxfId="0">
      <formula>"No play"</formula>
    </cfRule>
    <cfRule type="cellIs" priority="15" operator="equal" dxfId="1">
      <formula>"Play found"</formula>
    </cfRule>
    <cfRule type="cellIs" priority="16" operator="equal" dxfId="2">
      <formula>"Not checked"</formula>
    </cfRule>
  </conditionalFormatting>
  <conditionalFormatting sqref="M5:M304">
    <cfRule type="cellIs" priority="17" operator="equal" dxfId="0">
      <formula>"OK"</formula>
    </cfRule>
    <cfRule type="cellIs" priority="18" operator="equal" dxfId="1">
      <formula>"Needs attention"</formula>
    </cfRule>
    <cfRule type="cellIs" priority="19" operator="equal" dxfId="2">
      <formula>"Not checked"</formula>
    </cfRule>
  </conditionalFormatting>
  <dataValidations count="9">
    <dataValidation sqref="B5:B304" showDropDown="0" showInputMessage="0" showErrorMessage="1" allowBlank="1" errorTitle="Bike" error="Choose a value from the list." type="list" errorStyle="stop">
      <formula1>=BikeList</formula1>
    </dataValidation>
    <dataValidation sqref="D5:D304" showDropDown="0" showInputMessage="0" showErrorMessage="1" allowBlank="1" errorTitle="Clean-up" error="Choose a value from the list." type="list" errorStyle="stop">
      <formula1>=CleanupList</formula1>
    </dataValidation>
    <dataValidation sqref="F5:F304" showDropDown="0" showInputMessage="0" showErrorMessage="1" allowBlank="1" errorTitle="Drivetrain" error="Choose a value from the list." type="list" errorStyle="stop">
      <formula1>=CheckList</formula1>
    </dataValidation>
    <dataValidation sqref="G5:G304" showDropDown="0" showInputMessage="0" showErrorMessage="1" allowBlank="1" errorTitle="Chain wear" error="Choose a value from the list." type="list" errorStyle="stop">
      <formula1>=ChainList</formula1>
    </dataValidation>
    <dataValidation sqref="I5:I304" showDropDown="0" showInputMessage="0" showErrorMessage="1" allowBlank="1" errorTitle="Brakes" error="Choose a value from the list." type="list" errorStyle="stop">
      <formula1>=CheckList</formula1>
    </dataValidation>
    <dataValidation sqref="K5:K304" showDropDown="0" showInputMessage="0" showErrorMessage="1" allowBlank="1" errorTitle="Headset" error="Choose a value from the list." type="list" errorStyle="stop">
      <formula1>=HeadsetList</formula1>
    </dataValidation>
    <dataValidation sqref="M5:M304" showDropDown="0" showInputMessage="0" showErrorMessage="1" allowBlank="1" errorTitle="Tyres" error="Choose a value from the list." type="list" errorStyle="stop">
      <formula1>=CheckList</formula1>
    </dataValidation>
    <dataValidation sqref="O5:P304" showDropDown="0" showInputMessage="0" showErrorMessage="1" allowBlank="1" errorTitle="Tyre pressure" error="Enter a number from 0 to 300, or leave the cell blank." type="decimal" errorStyle="stop" operator="between">
      <formula1>0</formula1>
      <formula2>300</formula2>
    </dataValidation>
    <dataValidation sqref="Q5:Q304" showDropDown="0" showInputMessage="0" showErrorMessage="1" allowBlank="1" errorTitle="Pressure unit" error="Choose a value from the list." type="list" errorStyle="stop">
      <formula1>=UnitList</formula1>
    </dataValidation>
  </dataValidations>
  <printOptions horizontalCentered="1"/>
  <pageMargins left="0.4" right="0.4" top="0.7" bottom="0.5" header="0.25" footer="0.25"/>
  <pageSetup orientation="landscape" paperSize="8" fitToHeight="0" fitToWidth="1"/>
  <headerFooter>
    <oddHeader>&amp;C&amp;"Calibri"&amp;12 Bike service log</oddHeader>
    <oddFooter>&amp;L&amp;"Calibri"&amp;9 Bike service log&amp;R&amp;"Calibri"&amp;9 Page &amp;P of &amp;N</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1D4E89"/>
    <outlinePr summaryBelow="1" summaryRight="1"/>
    <pageSetUpPr fitToPage="1"/>
  </sheetPr>
  <dimension ref="A1:I34"/>
  <sheetViews>
    <sheetView showGridLines="0" zoomScale="110" workbookViewId="0">
      <pane ySplit="4" topLeftCell="A5" activePane="bottomLeft" state="frozen"/>
      <selection pane="bottomLeft" activeCell="A8" sqref="A8"/>
    </sheetView>
  </sheetViews>
  <sheetFormatPr baseColWidth="8" defaultRowHeight="15"/>
  <cols>
    <col width="24" customWidth="1" min="1" max="1"/>
    <col width="18" customWidth="1" min="2" max="2"/>
    <col width="22" customWidth="1" min="3" max="3"/>
    <col width="16" customWidth="1" min="4" max="4"/>
    <col width="10" customWidth="1" min="5" max="5"/>
    <col width="12" customWidth="1" min="6" max="6"/>
    <col width="20" customWidth="1" min="7" max="7"/>
    <col width="18" customWidth="1" min="8" max="8"/>
    <col width="42" customWidth="1" min="9" max="9"/>
  </cols>
  <sheetData>
    <row r="1" ht="30" customHeight="1">
      <c r="A1" s="1" t="inlineStr">
        <is>
          <t>Bikes</t>
        </is>
      </c>
      <c r="B1" s="2" t="n"/>
      <c r="C1" s="2" t="n"/>
      <c r="D1" s="2" t="n"/>
      <c r="E1" s="2" t="n"/>
      <c r="F1" s="2" t="n"/>
      <c r="G1" s="2" t="n"/>
      <c r="H1" s="2" t="n"/>
      <c r="I1" s="2" t="n"/>
    </row>
    <row r="2" ht="34" customHeight="1">
      <c r="A2" s="3" t="inlineStr">
        <is>
          <t>Add each bike once, in the Bike column. Keep the names together with no empty row between them. If you remove one, move the later names up. The service log dropdown reads this list.</t>
        </is>
      </c>
      <c r="B2" s="4" t="n"/>
      <c r="C2" s="4" t="n"/>
      <c r="D2" s="4" t="n"/>
      <c r="E2" s="4" t="n"/>
      <c r="F2" s="4" t="n"/>
      <c r="G2" s="4" t="n"/>
      <c r="H2" s="4" t="n"/>
      <c r="I2" s="4" t="n"/>
    </row>
    <row r="3" ht="10" customHeight="1"/>
    <row r="4" ht="36" customHeight="1">
      <c r="A4" s="5" t="inlineStr">
        <is>
          <t>Bike</t>
        </is>
      </c>
      <c r="B4" s="5" t="inlineStr">
        <is>
          <t>Make</t>
        </is>
      </c>
      <c r="C4" s="5" t="inlineStr">
        <is>
          <t>Model</t>
        </is>
      </c>
      <c r="D4" s="5" t="inlineStr">
        <is>
          <t>Type</t>
        </is>
      </c>
      <c r="E4" s="5" t="inlineStr">
        <is>
          <t>Year</t>
        </is>
      </c>
      <c r="F4" s="5" t="inlineStr">
        <is>
          <t>Size</t>
        </is>
      </c>
      <c r="G4" s="5" t="inlineStr">
        <is>
          <t>Serial number</t>
        </is>
      </c>
      <c r="H4" s="5" t="inlineStr">
        <is>
          <t>Rider</t>
        </is>
      </c>
      <c r="I4" s="5" t="inlineStr">
        <is>
          <t>Notes</t>
        </is>
      </c>
    </row>
    <row r="5" ht="20" customHeight="1">
      <c r="A5" s="8" t="inlineStr">
        <is>
          <t>Example bike 1</t>
        </is>
      </c>
      <c r="B5" s="8" t="n"/>
      <c r="C5" s="8" t="n"/>
      <c r="D5" s="7" t="inlineStr">
        <is>
          <t>Road</t>
        </is>
      </c>
      <c r="E5" s="11" t="n"/>
      <c r="F5" s="7" t="n"/>
      <c r="G5" s="12" t="n"/>
      <c r="H5" s="8" t="n"/>
      <c r="I5" s="10" t="inlineStr">
        <is>
          <t>Example — rename this</t>
        </is>
      </c>
    </row>
    <row r="6" ht="20" customHeight="1">
      <c r="A6" s="8" t="inlineStr">
        <is>
          <t>Example bike 2</t>
        </is>
      </c>
      <c r="B6" s="8" t="n"/>
      <c r="C6" s="8" t="n"/>
      <c r="D6" s="7" t="inlineStr">
        <is>
          <t>Gravel</t>
        </is>
      </c>
      <c r="E6" s="11" t="n"/>
      <c r="F6" s="7" t="n"/>
      <c r="G6" s="12" t="n"/>
      <c r="H6" s="8" t="n"/>
      <c r="I6" s="10" t="inlineStr">
        <is>
          <t>Example — rename this</t>
        </is>
      </c>
    </row>
    <row r="7" ht="20" customHeight="1">
      <c r="A7" s="8" t="inlineStr">
        <is>
          <t>Example bike 3</t>
        </is>
      </c>
      <c r="B7" s="8" t="n"/>
      <c r="C7" s="8" t="n"/>
      <c r="D7" s="7" t="inlineStr">
        <is>
          <t>Mountain</t>
        </is>
      </c>
      <c r="E7" s="11" t="n"/>
      <c r="F7" s="7" t="n"/>
      <c r="G7" s="12" t="n"/>
      <c r="H7" s="8" t="n"/>
      <c r="I7" s="10" t="inlineStr">
        <is>
          <t>Example — rename this</t>
        </is>
      </c>
    </row>
    <row r="8" ht="20" customHeight="1">
      <c r="A8" s="8" t="n"/>
      <c r="B8" s="8" t="n"/>
      <c r="C8" s="8" t="n"/>
      <c r="D8" s="7" t="n"/>
      <c r="E8" s="11" t="n"/>
      <c r="F8" s="7" t="n"/>
      <c r="G8" s="12" t="n"/>
      <c r="H8" s="8" t="n"/>
      <c r="I8" s="8" t="n"/>
    </row>
    <row r="9" ht="20" customHeight="1">
      <c r="A9" s="8" t="n"/>
      <c r="B9" s="8" t="n"/>
      <c r="C9" s="8" t="n"/>
      <c r="D9" s="7" t="n"/>
      <c r="E9" s="11" t="n"/>
      <c r="F9" s="7" t="n"/>
      <c r="G9" s="12" t="n"/>
      <c r="H9" s="8" t="n"/>
      <c r="I9" s="8" t="n"/>
    </row>
    <row r="10" ht="20" customHeight="1">
      <c r="A10" s="8" t="n"/>
      <c r="B10" s="8" t="n"/>
      <c r="C10" s="8" t="n"/>
      <c r="D10" s="7" t="n"/>
      <c r="E10" s="11" t="n"/>
      <c r="F10" s="7" t="n"/>
      <c r="G10" s="12" t="n"/>
      <c r="H10" s="8" t="n"/>
      <c r="I10" s="8" t="n"/>
    </row>
    <row r="11" ht="20" customHeight="1">
      <c r="A11" s="8" t="n"/>
      <c r="B11" s="8" t="n"/>
      <c r="C11" s="8" t="n"/>
      <c r="D11" s="7" t="n"/>
      <c r="E11" s="11" t="n"/>
      <c r="F11" s="7" t="n"/>
      <c r="G11" s="12" t="n"/>
      <c r="H11" s="8" t="n"/>
      <c r="I11" s="8" t="n"/>
    </row>
    <row r="12" ht="20" customHeight="1">
      <c r="A12" s="8" t="n"/>
      <c r="B12" s="8" t="n"/>
      <c r="C12" s="8" t="n"/>
      <c r="D12" s="7" t="n"/>
      <c r="E12" s="11" t="n"/>
      <c r="F12" s="7" t="n"/>
      <c r="G12" s="12" t="n"/>
      <c r="H12" s="8" t="n"/>
      <c r="I12" s="8" t="n"/>
    </row>
    <row r="13" ht="20" customHeight="1">
      <c r="A13" s="8" t="n"/>
      <c r="B13" s="8" t="n"/>
      <c r="C13" s="8" t="n"/>
      <c r="D13" s="7" t="n"/>
      <c r="E13" s="11" t="n"/>
      <c r="F13" s="7" t="n"/>
      <c r="G13" s="12" t="n"/>
      <c r="H13" s="8" t="n"/>
      <c r="I13" s="8" t="n"/>
    </row>
    <row r="14" ht="20" customHeight="1">
      <c r="A14" s="8" t="n"/>
      <c r="B14" s="8" t="n"/>
      <c r="C14" s="8" t="n"/>
      <c r="D14" s="7" t="n"/>
      <c r="E14" s="11" t="n"/>
      <c r="F14" s="7" t="n"/>
      <c r="G14" s="12" t="n"/>
      <c r="H14" s="8" t="n"/>
      <c r="I14" s="8" t="n"/>
    </row>
    <row r="15" ht="20" customHeight="1">
      <c r="A15" s="8" t="n"/>
      <c r="B15" s="8" t="n"/>
      <c r="C15" s="8" t="n"/>
      <c r="D15" s="7" t="n"/>
      <c r="E15" s="11" t="n"/>
      <c r="F15" s="7" t="n"/>
      <c r="G15" s="12" t="n"/>
      <c r="H15" s="8" t="n"/>
      <c r="I15" s="8" t="n"/>
    </row>
    <row r="16" ht="20" customHeight="1">
      <c r="A16" s="8" t="n"/>
      <c r="B16" s="8" t="n"/>
      <c r="C16" s="8" t="n"/>
      <c r="D16" s="7" t="n"/>
      <c r="E16" s="11" t="n"/>
      <c r="F16" s="7" t="n"/>
      <c r="G16" s="12" t="n"/>
      <c r="H16" s="8" t="n"/>
      <c r="I16" s="8" t="n"/>
    </row>
    <row r="17" ht="20" customHeight="1">
      <c r="A17" s="8" t="n"/>
      <c r="B17" s="8" t="n"/>
      <c r="C17" s="8" t="n"/>
      <c r="D17" s="7" t="n"/>
      <c r="E17" s="11" t="n"/>
      <c r="F17" s="7" t="n"/>
      <c r="G17" s="12" t="n"/>
      <c r="H17" s="8" t="n"/>
      <c r="I17" s="8" t="n"/>
    </row>
    <row r="18" ht="20" customHeight="1">
      <c r="A18" s="8" t="n"/>
      <c r="B18" s="8" t="n"/>
      <c r="C18" s="8" t="n"/>
      <c r="D18" s="7" t="n"/>
      <c r="E18" s="11" t="n"/>
      <c r="F18" s="7" t="n"/>
      <c r="G18" s="12" t="n"/>
      <c r="H18" s="8" t="n"/>
      <c r="I18" s="8" t="n"/>
    </row>
    <row r="19" ht="20" customHeight="1">
      <c r="A19" s="8" t="n"/>
      <c r="B19" s="8" t="n"/>
      <c r="C19" s="8" t="n"/>
      <c r="D19" s="7" t="n"/>
      <c r="E19" s="11" t="n"/>
      <c r="F19" s="7" t="n"/>
      <c r="G19" s="12" t="n"/>
      <c r="H19" s="8" t="n"/>
      <c r="I19" s="8" t="n"/>
    </row>
    <row r="20" ht="20" customHeight="1">
      <c r="A20" s="8" t="n"/>
      <c r="B20" s="8" t="n"/>
      <c r="C20" s="8" t="n"/>
      <c r="D20" s="7" t="n"/>
      <c r="E20" s="11" t="n"/>
      <c r="F20" s="7" t="n"/>
      <c r="G20" s="12" t="n"/>
      <c r="H20" s="8" t="n"/>
      <c r="I20" s="8" t="n"/>
    </row>
    <row r="21" ht="20" customHeight="1">
      <c r="A21" s="8" t="n"/>
      <c r="B21" s="8" t="n"/>
      <c r="C21" s="8" t="n"/>
      <c r="D21" s="7" t="n"/>
      <c r="E21" s="11" t="n"/>
      <c r="F21" s="7" t="n"/>
      <c r="G21" s="12" t="n"/>
      <c r="H21" s="8" t="n"/>
      <c r="I21" s="8" t="n"/>
    </row>
    <row r="22" ht="20" customHeight="1">
      <c r="A22" s="8" t="n"/>
      <c r="B22" s="8" t="n"/>
      <c r="C22" s="8" t="n"/>
      <c r="D22" s="7" t="n"/>
      <c r="E22" s="11" t="n"/>
      <c r="F22" s="7" t="n"/>
      <c r="G22" s="12" t="n"/>
      <c r="H22" s="8" t="n"/>
      <c r="I22" s="8" t="n"/>
    </row>
    <row r="23" ht="20" customHeight="1">
      <c r="A23" s="8" t="n"/>
      <c r="B23" s="8" t="n"/>
      <c r="C23" s="8" t="n"/>
      <c r="D23" s="7" t="n"/>
      <c r="E23" s="11" t="n"/>
      <c r="F23" s="7" t="n"/>
      <c r="G23" s="12" t="n"/>
      <c r="H23" s="8" t="n"/>
      <c r="I23" s="8" t="n"/>
    </row>
    <row r="24" ht="20" customHeight="1">
      <c r="A24" s="8" t="n"/>
      <c r="B24" s="8" t="n"/>
      <c r="C24" s="8" t="n"/>
      <c r="D24" s="7" t="n"/>
      <c r="E24" s="11" t="n"/>
      <c r="F24" s="7" t="n"/>
      <c r="G24" s="12" t="n"/>
      <c r="H24" s="8" t="n"/>
      <c r="I24" s="8" t="n"/>
    </row>
    <row r="25" ht="20" customHeight="1">
      <c r="A25" s="8" t="n"/>
      <c r="B25" s="8" t="n"/>
      <c r="C25" s="8" t="n"/>
      <c r="D25" s="7" t="n"/>
      <c r="E25" s="11" t="n"/>
      <c r="F25" s="7" t="n"/>
      <c r="G25" s="12" t="n"/>
      <c r="H25" s="8" t="n"/>
      <c r="I25" s="8" t="n"/>
    </row>
    <row r="26" ht="20" customHeight="1">
      <c r="A26" s="8" t="n"/>
      <c r="B26" s="8" t="n"/>
      <c r="C26" s="8" t="n"/>
      <c r="D26" s="7" t="n"/>
      <c r="E26" s="11" t="n"/>
      <c r="F26" s="7" t="n"/>
      <c r="G26" s="12" t="n"/>
      <c r="H26" s="8" t="n"/>
      <c r="I26" s="8" t="n"/>
    </row>
    <row r="27" ht="20" customHeight="1">
      <c r="A27" s="8" t="n"/>
      <c r="B27" s="8" t="n"/>
      <c r="C27" s="8" t="n"/>
      <c r="D27" s="7" t="n"/>
      <c r="E27" s="11" t="n"/>
      <c r="F27" s="7" t="n"/>
      <c r="G27" s="12" t="n"/>
      <c r="H27" s="8" t="n"/>
      <c r="I27" s="8" t="n"/>
    </row>
    <row r="28" ht="20" customHeight="1">
      <c r="A28" s="8" t="n"/>
      <c r="B28" s="8" t="n"/>
      <c r="C28" s="8" t="n"/>
      <c r="D28" s="7" t="n"/>
      <c r="E28" s="11" t="n"/>
      <c r="F28" s="7" t="n"/>
      <c r="G28" s="12" t="n"/>
      <c r="H28" s="8" t="n"/>
      <c r="I28" s="8" t="n"/>
    </row>
    <row r="29" ht="20" customHeight="1">
      <c r="A29" s="8" t="n"/>
      <c r="B29" s="8" t="n"/>
      <c r="C29" s="8" t="n"/>
      <c r="D29" s="7" t="n"/>
      <c r="E29" s="11" t="n"/>
      <c r="F29" s="7" t="n"/>
      <c r="G29" s="12" t="n"/>
      <c r="H29" s="8" t="n"/>
      <c r="I29" s="8" t="n"/>
    </row>
    <row r="30" ht="20" customHeight="1">
      <c r="A30" s="8" t="n"/>
      <c r="B30" s="8" t="n"/>
      <c r="C30" s="8" t="n"/>
      <c r="D30" s="7" t="n"/>
      <c r="E30" s="11" t="n"/>
      <c r="F30" s="7" t="n"/>
      <c r="G30" s="12" t="n"/>
      <c r="H30" s="8" t="n"/>
      <c r="I30" s="8" t="n"/>
    </row>
    <row r="31" ht="20" customHeight="1">
      <c r="A31" s="8" t="n"/>
      <c r="B31" s="8" t="n"/>
      <c r="C31" s="8" t="n"/>
      <c r="D31" s="7" t="n"/>
      <c r="E31" s="11" t="n"/>
      <c r="F31" s="7" t="n"/>
      <c r="G31" s="12" t="n"/>
      <c r="H31" s="8" t="n"/>
      <c r="I31" s="8" t="n"/>
    </row>
    <row r="32" ht="20" customHeight="1">
      <c r="A32" s="8" t="n"/>
      <c r="B32" s="8" t="n"/>
      <c r="C32" s="8" t="n"/>
      <c r="D32" s="7" t="n"/>
      <c r="E32" s="11" t="n"/>
      <c r="F32" s="7" t="n"/>
      <c r="G32" s="12" t="n"/>
      <c r="H32" s="8" t="n"/>
      <c r="I32" s="8" t="n"/>
    </row>
    <row r="33" ht="20" customHeight="1">
      <c r="A33" s="8" t="n"/>
      <c r="B33" s="8" t="n"/>
      <c r="C33" s="8" t="n"/>
      <c r="D33" s="7" t="n"/>
      <c r="E33" s="11" t="n"/>
      <c r="F33" s="7" t="n"/>
      <c r="G33" s="12" t="n"/>
      <c r="H33" s="8" t="n"/>
      <c r="I33" s="8" t="n"/>
    </row>
    <row r="34" ht="20" customHeight="1">
      <c r="A34" s="8" t="n"/>
      <c r="B34" s="8" t="n"/>
      <c r="C34" s="8" t="n"/>
      <c r="D34" s="7" t="n"/>
      <c r="E34" s="11" t="n"/>
      <c r="F34" s="7" t="n"/>
      <c r="G34" s="12" t="n"/>
      <c r="H34" s="8" t="n"/>
      <c r="I34" s="8" t="n"/>
    </row>
  </sheetData>
  <autoFilter ref="A4:I34"/>
  <mergeCells count="2">
    <mergeCell ref="A1:I1"/>
    <mergeCell ref="A2:I2"/>
  </mergeCells>
  <dataValidations count="1">
    <dataValidation sqref="D5:D34" showDropDown="0" showInputMessage="0" showErrorMessage="1" allowBlank="1" errorTitle="Bike type" error="Choose a value from the list." type="list" errorStyle="stop">
      <formula1>=TypeList</formula1>
    </dataValidation>
  </dataValidations>
  <printOptions horizontalCentered="1"/>
  <pageMargins left="0.4" right="0.4" top="0.7" bottom="0.5" header="0.25" footer="0.25"/>
  <pageSetup orientation="landscape" paperSize="9" fitToHeight="0" fitToWidth="1"/>
  <headerFooter>
    <oddHeader>&amp;C&amp;"Calibri"&amp;12 Bikes</oddHeader>
    <oddFooter>&amp;L&amp;"Calibri"&amp;9 Bike service log&amp;R&amp;"Calibri"&amp;9 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B45309"/>
    <outlinePr summaryBelow="1" summaryRight="1"/>
    <pageSetUpPr fitToPage="1"/>
  </sheetPr>
  <dimension ref="A1:L35"/>
  <sheetViews>
    <sheetView showGridLines="0" zoomScale="110" workbookViewId="0">
      <pane ySplit="5" topLeftCell="A6" activePane="bottomLeft" state="frozen"/>
      <selection pane="bottomLeft" activeCell="A3" sqref="A3"/>
    </sheetView>
  </sheetViews>
  <sheetFormatPr baseColWidth="8" defaultRowHeight="15"/>
  <cols>
    <col width="24" customWidth="1" min="1" max="1"/>
    <col width="16" customWidth="1" min="2" max="2"/>
    <col width="14" customWidth="1" min="3" max="3"/>
    <col width="16" customWidth="1" min="4" max="4"/>
    <col width="14" customWidth="1" min="5" max="5"/>
    <col width="16" customWidth="1" min="6" max="6"/>
    <col width="14" customWidth="1" min="7" max="7"/>
    <col width="14" customWidth="1" min="8" max="8"/>
    <col width="15" customWidth="1" min="9" max="9"/>
    <col width="15" customWidth="1" min="10" max="10"/>
    <col width="10" customWidth="1" min="11" max="11"/>
    <col width="16" customWidth="1" min="12" max="12"/>
  </cols>
  <sheetData>
    <row r="1" ht="30" customHeight="1">
      <c r="A1" s="1" t="inlineStr">
        <is>
          <t>Latest check on each bike</t>
        </is>
      </c>
      <c r="B1" s="2" t="n"/>
      <c r="C1" s="2" t="n"/>
      <c r="D1" s="2" t="n"/>
      <c r="E1" s="2" t="n"/>
      <c r="F1" s="2" t="n"/>
      <c r="G1" s="2" t="n"/>
      <c r="H1" s="2" t="n"/>
      <c r="I1" s="2" t="n"/>
      <c r="J1" s="2" t="n"/>
      <c r="K1" s="2" t="n"/>
      <c r="L1" s="2" t="n"/>
    </row>
    <row r="2" ht="56" customHeight="1">
      <c r="A2" s="3" t="inlineStr">
        <is>
          <t>This follows the service log. Needs a look means the last visit still has the clean-up not done, a check that needs attention, headset play, or chain wear of 0.75% or more. Tyre pressure is shown as recorded. Not checked does not, by itself, flag the bike. Add visits on the Service log. This sheet updates from there.</t>
        </is>
      </c>
      <c r="B2" s="4" t="n"/>
      <c r="C2" s="4" t="n"/>
      <c r="D2" s="4" t="n"/>
      <c r="E2" s="4" t="n"/>
      <c r="F2" s="4" t="n"/>
      <c r="G2" s="4" t="n"/>
      <c r="H2" s="4" t="n"/>
      <c r="I2" s="4" t="n"/>
      <c r="J2" s="4" t="n"/>
      <c r="K2" s="4" t="n"/>
      <c r="L2" s="4" t="n"/>
    </row>
    <row r="3" ht="24" customHeight="1">
      <c r="A3" s="13" t="inlineStr">
        <is>
          <t>Bikes</t>
        </is>
      </c>
      <c r="B3" s="14">
        <f>COUNTA(Bikes!A5:A34)</f>
        <v/>
      </c>
      <c r="C3" s="13" t="inlineStr">
        <is>
          <t>Visits logged</t>
        </is>
      </c>
      <c r="D3" s="14">
        <f>COUNTA('Service log'!A5:A304)</f>
        <v/>
      </c>
      <c r="E3" s="13" t="inlineStr">
        <is>
          <t>Need a look</t>
        </is>
      </c>
      <c r="F3" s="14">
        <f>COUNTIF(L6:L35,"Yes")</f>
        <v/>
      </c>
    </row>
    <row r="5" ht="36" customHeight="1">
      <c r="A5" s="5" t="inlineStr">
        <is>
          <t>Bike</t>
        </is>
      </c>
      <c r="B5" s="5" t="inlineStr">
        <is>
          <t>Last visit</t>
        </is>
      </c>
      <c r="C5" s="5" t="inlineStr">
        <is>
          <t>Clean-up</t>
        </is>
      </c>
      <c r="D5" s="5" t="inlineStr">
        <is>
          <t>Drivetrain</t>
        </is>
      </c>
      <c r="E5" s="5" t="inlineStr">
        <is>
          <t>Chain wear</t>
        </is>
      </c>
      <c r="F5" s="5" t="inlineStr">
        <is>
          <t>Brakes</t>
        </is>
      </c>
      <c r="G5" s="5" t="inlineStr">
        <is>
          <t>Headset</t>
        </is>
      </c>
      <c r="H5" s="5" t="inlineStr">
        <is>
          <t>Tyres</t>
        </is>
      </c>
      <c r="I5" s="5" t="inlineStr">
        <is>
          <t>Front pressure</t>
        </is>
      </c>
      <c r="J5" s="5" t="inlineStr">
        <is>
          <t>Rear pressure</t>
        </is>
      </c>
      <c r="K5" s="5" t="inlineStr">
        <is>
          <t>Unit</t>
        </is>
      </c>
      <c r="L5" s="5" t="inlineStr">
        <is>
          <t>Needs a look</t>
        </is>
      </c>
    </row>
    <row r="6" ht="20" customHeight="1">
      <c r="A6" s="8">
        <f>IF(Bikes!$A$5="","",Bikes!$A$5)</f>
        <v/>
      </c>
      <c r="B6" s="6">
        <f>IF(A6="","",IF(COUNTIFS('Service log'!$B$5:$B$304,A6,'Service log'!$A$5:$A$304,"&gt;0")=0,"",MAXIFS('Service log'!$A$5:$A$304,'Service log'!$B$5:$B$304,A6)))</f>
        <v/>
      </c>
      <c r="C6" s="7">
        <f>IF(OR(A6="",B6=""),"",IFERROR(T(LOOKUP(2,1/(('Service log'!$B$5:$B$304=A6)*('Service log'!$A$5:$A$304=B6)),'Service log'!$D$5:$D$304)),""))</f>
        <v/>
      </c>
      <c r="D6" s="7">
        <f>IF(OR(A6="",B6=""),"",IFERROR(T(LOOKUP(2,1/(('Service log'!$B$5:$B$304=A6)*('Service log'!$A$5:$A$304=B6)),'Service log'!$F$5:$F$304)),""))</f>
        <v/>
      </c>
      <c r="E6" s="7">
        <f>IF(OR(A6="",B6=""),"",IFERROR(T(LOOKUP(2,1/(('Service log'!$B$5:$B$304=A6)*('Service log'!$A$5:$A$304=B6)),'Service log'!$G$5:$G$304)),""))</f>
        <v/>
      </c>
      <c r="F6" s="7">
        <f>IF(OR(A6="",B6=""),"",IFERROR(T(LOOKUP(2,1/(('Service log'!$B$5:$B$304=A6)*('Service log'!$A$5:$A$304=B6)),'Service log'!$I$5:$I$304)),""))</f>
        <v/>
      </c>
      <c r="G6" s="7">
        <f>IF(OR(A6="",B6=""),"",IFERROR(T(LOOKUP(2,1/(('Service log'!$B$5:$B$304=A6)*('Service log'!$A$5:$A$304=B6)),'Service log'!$K$5:$K$304)),""))</f>
        <v/>
      </c>
      <c r="H6" s="7">
        <f>IF(OR(A6="",B6=""),"",IFERROR(T(LOOKUP(2,1/(('Service log'!$B$5:$B$304=A6)*('Service log'!$A$5:$A$304=B6)),'Service log'!$M$5:$M$304)),""))</f>
        <v/>
      </c>
      <c r="I6" s="9">
        <f>IF(OR(A6="",B6=""),"",IFERROR(1/(1/(LOOKUP(2,1/(('Service log'!$B$5:$B$304=A6)*('Service log'!$A$5:$A$304=B6)),'Service log'!$O$5:$O$304))),""))</f>
        <v/>
      </c>
      <c r="J6" s="9">
        <f>IF(OR(A6="",B6=""),"",IFERROR(1/(1/(LOOKUP(2,1/(('Service log'!$B$5:$B$304=A6)*('Service log'!$A$5:$A$304=B6)),'Service log'!$P$5:$P$304))),""))</f>
        <v/>
      </c>
      <c r="K6" s="7">
        <f>IF(OR(A6="",B6=""),"",IFERROR(T(LOOKUP(2,1/(('Service log'!$B$5:$B$304=A6)*('Service log'!$A$5:$A$304=B6)),'Service log'!$Q$5:$Q$304)),""))</f>
        <v/>
      </c>
      <c r="L6" s="7">
        <f>IF(A6="","",IF(B6="","No record",IF(OR(C6="Not done",D6="Needs attention",E6="0.75%",E6="1% or more",F6="Needs attention",G6="Play found",H6="Needs attention"),"Yes","No")))</f>
        <v/>
      </c>
    </row>
    <row r="7" ht="20" customHeight="1">
      <c r="A7" s="8">
        <f>IF(Bikes!$A$6="","",Bikes!$A$6)</f>
        <v/>
      </c>
      <c r="B7" s="6">
        <f>IF(A7="","",IF(COUNTIFS('Service log'!$B$5:$B$304,A7,'Service log'!$A$5:$A$304,"&gt;0")=0,"",MAXIFS('Service log'!$A$5:$A$304,'Service log'!$B$5:$B$304,A7)))</f>
        <v/>
      </c>
      <c r="C7" s="7">
        <f>IF(OR(A7="",B7=""),"",IFERROR(T(LOOKUP(2,1/(('Service log'!$B$5:$B$304=A7)*('Service log'!$A$5:$A$304=B7)),'Service log'!$D$5:$D$304)),""))</f>
        <v/>
      </c>
      <c r="D7" s="7">
        <f>IF(OR(A7="",B7=""),"",IFERROR(T(LOOKUP(2,1/(('Service log'!$B$5:$B$304=A7)*('Service log'!$A$5:$A$304=B7)),'Service log'!$F$5:$F$304)),""))</f>
        <v/>
      </c>
      <c r="E7" s="7">
        <f>IF(OR(A7="",B7=""),"",IFERROR(T(LOOKUP(2,1/(('Service log'!$B$5:$B$304=A7)*('Service log'!$A$5:$A$304=B7)),'Service log'!$G$5:$G$304)),""))</f>
        <v/>
      </c>
      <c r="F7" s="7">
        <f>IF(OR(A7="",B7=""),"",IFERROR(T(LOOKUP(2,1/(('Service log'!$B$5:$B$304=A7)*('Service log'!$A$5:$A$304=B7)),'Service log'!$I$5:$I$304)),""))</f>
        <v/>
      </c>
      <c r="G7" s="7">
        <f>IF(OR(A7="",B7=""),"",IFERROR(T(LOOKUP(2,1/(('Service log'!$B$5:$B$304=A7)*('Service log'!$A$5:$A$304=B7)),'Service log'!$K$5:$K$304)),""))</f>
        <v/>
      </c>
      <c r="H7" s="7">
        <f>IF(OR(A7="",B7=""),"",IFERROR(T(LOOKUP(2,1/(('Service log'!$B$5:$B$304=A7)*('Service log'!$A$5:$A$304=B7)),'Service log'!$M$5:$M$304)),""))</f>
        <v/>
      </c>
      <c r="I7" s="9">
        <f>IF(OR(A7="",B7=""),"",IFERROR(1/(1/(LOOKUP(2,1/(('Service log'!$B$5:$B$304=A7)*('Service log'!$A$5:$A$304=B7)),'Service log'!$O$5:$O$304))),""))</f>
        <v/>
      </c>
      <c r="J7" s="9">
        <f>IF(OR(A7="",B7=""),"",IFERROR(1/(1/(LOOKUP(2,1/(('Service log'!$B$5:$B$304=A7)*('Service log'!$A$5:$A$304=B7)),'Service log'!$P$5:$P$304))),""))</f>
        <v/>
      </c>
      <c r="K7" s="7">
        <f>IF(OR(A7="",B7=""),"",IFERROR(T(LOOKUP(2,1/(('Service log'!$B$5:$B$304=A7)*('Service log'!$A$5:$A$304=B7)),'Service log'!$Q$5:$Q$304)),""))</f>
        <v/>
      </c>
      <c r="L7" s="7">
        <f>IF(A7="","",IF(B7="","No record",IF(OR(C7="Not done",D7="Needs attention",E7="0.75%",E7="1% or more",F7="Needs attention",G7="Play found",H7="Needs attention"),"Yes","No")))</f>
        <v/>
      </c>
    </row>
    <row r="8" ht="20" customHeight="1">
      <c r="A8" s="8">
        <f>IF(Bikes!$A$7="","",Bikes!$A$7)</f>
        <v/>
      </c>
      <c r="B8" s="6">
        <f>IF(A8="","",IF(COUNTIFS('Service log'!$B$5:$B$304,A8,'Service log'!$A$5:$A$304,"&gt;0")=0,"",MAXIFS('Service log'!$A$5:$A$304,'Service log'!$B$5:$B$304,A8)))</f>
        <v/>
      </c>
      <c r="C8" s="7">
        <f>IF(OR(A8="",B8=""),"",IFERROR(T(LOOKUP(2,1/(('Service log'!$B$5:$B$304=A8)*('Service log'!$A$5:$A$304=B8)),'Service log'!$D$5:$D$304)),""))</f>
        <v/>
      </c>
      <c r="D8" s="7">
        <f>IF(OR(A8="",B8=""),"",IFERROR(T(LOOKUP(2,1/(('Service log'!$B$5:$B$304=A8)*('Service log'!$A$5:$A$304=B8)),'Service log'!$F$5:$F$304)),""))</f>
        <v/>
      </c>
      <c r="E8" s="7">
        <f>IF(OR(A8="",B8=""),"",IFERROR(T(LOOKUP(2,1/(('Service log'!$B$5:$B$304=A8)*('Service log'!$A$5:$A$304=B8)),'Service log'!$G$5:$G$304)),""))</f>
        <v/>
      </c>
      <c r="F8" s="7">
        <f>IF(OR(A8="",B8=""),"",IFERROR(T(LOOKUP(2,1/(('Service log'!$B$5:$B$304=A8)*('Service log'!$A$5:$A$304=B8)),'Service log'!$I$5:$I$304)),""))</f>
        <v/>
      </c>
      <c r="G8" s="7">
        <f>IF(OR(A8="",B8=""),"",IFERROR(T(LOOKUP(2,1/(('Service log'!$B$5:$B$304=A8)*('Service log'!$A$5:$A$304=B8)),'Service log'!$K$5:$K$304)),""))</f>
        <v/>
      </c>
      <c r="H8" s="7">
        <f>IF(OR(A8="",B8=""),"",IFERROR(T(LOOKUP(2,1/(('Service log'!$B$5:$B$304=A8)*('Service log'!$A$5:$A$304=B8)),'Service log'!$M$5:$M$304)),""))</f>
        <v/>
      </c>
      <c r="I8" s="9">
        <f>IF(OR(A8="",B8=""),"",IFERROR(1/(1/(LOOKUP(2,1/(('Service log'!$B$5:$B$304=A8)*('Service log'!$A$5:$A$304=B8)),'Service log'!$O$5:$O$304))),""))</f>
        <v/>
      </c>
      <c r="J8" s="9">
        <f>IF(OR(A8="",B8=""),"",IFERROR(1/(1/(LOOKUP(2,1/(('Service log'!$B$5:$B$304=A8)*('Service log'!$A$5:$A$304=B8)),'Service log'!$P$5:$P$304))),""))</f>
        <v/>
      </c>
      <c r="K8" s="7">
        <f>IF(OR(A8="",B8=""),"",IFERROR(T(LOOKUP(2,1/(('Service log'!$B$5:$B$304=A8)*('Service log'!$A$5:$A$304=B8)),'Service log'!$Q$5:$Q$304)),""))</f>
        <v/>
      </c>
      <c r="L8" s="7">
        <f>IF(A8="","",IF(B8="","No record",IF(OR(C8="Not done",D8="Needs attention",E8="0.75%",E8="1% or more",F8="Needs attention",G8="Play found",H8="Needs attention"),"Yes","No")))</f>
        <v/>
      </c>
    </row>
    <row r="9" ht="20" customHeight="1">
      <c r="A9" s="8">
        <f>IF(Bikes!$A$8="","",Bikes!$A$8)</f>
        <v/>
      </c>
      <c r="B9" s="6">
        <f>IF(A9="","",IF(COUNTIFS('Service log'!$B$5:$B$304,A9,'Service log'!$A$5:$A$304,"&gt;0")=0,"",MAXIFS('Service log'!$A$5:$A$304,'Service log'!$B$5:$B$304,A9)))</f>
        <v/>
      </c>
      <c r="C9" s="7">
        <f>IF(OR(A9="",B9=""),"",IFERROR(T(LOOKUP(2,1/(('Service log'!$B$5:$B$304=A9)*('Service log'!$A$5:$A$304=B9)),'Service log'!$D$5:$D$304)),""))</f>
        <v/>
      </c>
      <c r="D9" s="7">
        <f>IF(OR(A9="",B9=""),"",IFERROR(T(LOOKUP(2,1/(('Service log'!$B$5:$B$304=A9)*('Service log'!$A$5:$A$304=B9)),'Service log'!$F$5:$F$304)),""))</f>
        <v/>
      </c>
      <c r="E9" s="7">
        <f>IF(OR(A9="",B9=""),"",IFERROR(T(LOOKUP(2,1/(('Service log'!$B$5:$B$304=A9)*('Service log'!$A$5:$A$304=B9)),'Service log'!$G$5:$G$304)),""))</f>
        <v/>
      </c>
      <c r="F9" s="7">
        <f>IF(OR(A9="",B9=""),"",IFERROR(T(LOOKUP(2,1/(('Service log'!$B$5:$B$304=A9)*('Service log'!$A$5:$A$304=B9)),'Service log'!$I$5:$I$304)),""))</f>
        <v/>
      </c>
      <c r="G9" s="7">
        <f>IF(OR(A9="",B9=""),"",IFERROR(T(LOOKUP(2,1/(('Service log'!$B$5:$B$304=A9)*('Service log'!$A$5:$A$304=B9)),'Service log'!$K$5:$K$304)),""))</f>
        <v/>
      </c>
      <c r="H9" s="7">
        <f>IF(OR(A9="",B9=""),"",IFERROR(T(LOOKUP(2,1/(('Service log'!$B$5:$B$304=A9)*('Service log'!$A$5:$A$304=B9)),'Service log'!$M$5:$M$304)),""))</f>
        <v/>
      </c>
      <c r="I9" s="9">
        <f>IF(OR(A9="",B9=""),"",IFERROR(1/(1/(LOOKUP(2,1/(('Service log'!$B$5:$B$304=A9)*('Service log'!$A$5:$A$304=B9)),'Service log'!$O$5:$O$304))),""))</f>
        <v/>
      </c>
      <c r="J9" s="9">
        <f>IF(OR(A9="",B9=""),"",IFERROR(1/(1/(LOOKUP(2,1/(('Service log'!$B$5:$B$304=A9)*('Service log'!$A$5:$A$304=B9)),'Service log'!$P$5:$P$304))),""))</f>
        <v/>
      </c>
      <c r="K9" s="7">
        <f>IF(OR(A9="",B9=""),"",IFERROR(T(LOOKUP(2,1/(('Service log'!$B$5:$B$304=A9)*('Service log'!$A$5:$A$304=B9)),'Service log'!$Q$5:$Q$304)),""))</f>
        <v/>
      </c>
      <c r="L9" s="7">
        <f>IF(A9="","",IF(B9="","No record",IF(OR(C9="Not done",D9="Needs attention",E9="0.75%",E9="1% or more",F9="Needs attention",G9="Play found",H9="Needs attention"),"Yes","No")))</f>
        <v/>
      </c>
    </row>
    <row r="10" ht="20" customHeight="1">
      <c r="A10" s="8">
        <f>IF(Bikes!$A$9="","",Bikes!$A$9)</f>
        <v/>
      </c>
      <c r="B10" s="6">
        <f>IF(A10="","",IF(COUNTIFS('Service log'!$B$5:$B$304,A10,'Service log'!$A$5:$A$304,"&gt;0")=0,"",MAXIFS('Service log'!$A$5:$A$304,'Service log'!$B$5:$B$304,A10)))</f>
        <v/>
      </c>
      <c r="C10" s="7">
        <f>IF(OR(A10="",B10=""),"",IFERROR(T(LOOKUP(2,1/(('Service log'!$B$5:$B$304=A10)*('Service log'!$A$5:$A$304=B10)),'Service log'!$D$5:$D$304)),""))</f>
        <v/>
      </c>
      <c r="D10" s="7">
        <f>IF(OR(A10="",B10=""),"",IFERROR(T(LOOKUP(2,1/(('Service log'!$B$5:$B$304=A10)*('Service log'!$A$5:$A$304=B10)),'Service log'!$F$5:$F$304)),""))</f>
        <v/>
      </c>
      <c r="E10" s="7">
        <f>IF(OR(A10="",B10=""),"",IFERROR(T(LOOKUP(2,1/(('Service log'!$B$5:$B$304=A10)*('Service log'!$A$5:$A$304=B10)),'Service log'!$G$5:$G$304)),""))</f>
        <v/>
      </c>
      <c r="F10" s="7">
        <f>IF(OR(A10="",B10=""),"",IFERROR(T(LOOKUP(2,1/(('Service log'!$B$5:$B$304=A10)*('Service log'!$A$5:$A$304=B10)),'Service log'!$I$5:$I$304)),""))</f>
        <v/>
      </c>
      <c r="G10" s="7">
        <f>IF(OR(A10="",B10=""),"",IFERROR(T(LOOKUP(2,1/(('Service log'!$B$5:$B$304=A10)*('Service log'!$A$5:$A$304=B10)),'Service log'!$K$5:$K$304)),""))</f>
        <v/>
      </c>
      <c r="H10" s="7">
        <f>IF(OR(A10="",B10=""),"",IFERROR(T(LOOKUP(2,1/(('Service log'!$B$5:$B$304=A10)*('Service log'!$A$5:$A$304=B10)),'Service log'!$M$5:$M$304)),""))</f>
        <v/>
      </c>
      <c r="I10" s="9">
        <f>IF(OR(A10="",B10=""),"",IFERROR(1/(1/(LOOKUP(2,1/(('Service log'!$B$5:$B$304=A10)*('Service log'!$A$5:$A$304=B10)),'Service log'!$O$5:$O$304))),""))</f>
        <v/>
      </c>
      <c r="J10" s="9">
        <f>IF(OR(A10="",B10=""),"",IFERROR(1/(1/(LOOKUP(2,1/(('Service log'!$B$5:$B$304=A10)*('Service log'!$A$5:$A$304=B10)),'Service log'!$P$5:$P$304))),""))</f>
        <v/>
      </c>
      <c r="K10" s="7">
        <f>IF(OR(A10="",B10=""),"",IFERROR(T(LOOKUP(2,1/(('Service log'!$B$5:$B$304=A10)*('Service log'!$A$5:$A$304=B10)),'Service log'!$Q$5:$Q$304)),""))</f>
        <v/>
      </c>
      <c r="L10" s="7">
        <f>IF(A10="","",IF(B10="","No record",IF(OR(C10="Not done",D10="Needs attention",E10="0.75%",E10="1% or more",F10="Needs attention",G10="Play found",H10="Needs attention"),"Yes","No")))</f>
        <v/>
      </c>
    </row>
    <row r="11" ht="20" customHeight="1">
      <c r="A11" s="8">
        <f>IF(Bikes!$A$10="","",Bikes!$A$10)</f>
        <v/>
      </c>
      <c r="B11" s="6">
        <f>IF(A11="","",IF(COUNTIFS('Service log'!$B$5:$B$304,A11,'Service log'!$A$5:$A$304,"&gt;0")=0,"",MAXIFS('Service log'!$A$5:$A$304,'Service log'!$B$5:$B$304,A11)))</f>
        <v/>
      </c>
      <c r="C11" s="7">
        <f>IF(OR(A11="",B11=""),"",IFERROR(T(LOOKUP(2,1/(('Service log'!$B$5:$B$304=A11)*('Service log'!$A$5:$A$304=B11)),'Service log'!$D$5:$D$304)),""))</f>
        <v/>
      </c>
      <c r="D11" s="7">
        <f>IF(OR(A11="",B11=""),"",IFERROR(T(LOOKUP(2,1/(('Service log'!$B$5:$B$304=A11)*('Service log'!$A$5:$A$304=B11)),'Service log'!$F$5:$F$304)),""))</f>
        <v/>
      </c>
      <c r="E11" s="7">
        <f>IF(OR(A11="",B11=""),"",IFERROR(T(LOOKUP(2,1/(('Service log'!$B$5:$B$304=A11)*('Service log'!$A$5:$A$304=B11)),'Service log'!$G$5:$G$304)),""))</f>
        <v/>
      </c>
      <c r="F11" s="7">
        <f>IF(OR(A11="",B11=""),"",IFERROR(T(LOOKUP(2,1/(('Service log'!$B$5:$B$304=A11)*('Service log'!$A$5:$A$304=B11)),'Service log'!$I$5:$I$304)),""))</f>
        <v/>
      </c>
      <c r="G11" s="7">
        <f>IF(OR(A11="",B11=""),"",IFERROR(T(LOOKUP(2,1/(('Service log'!$B$5:$B$304=A11)*('Service log'!$A$5:$A$304=B11)),'Service log'!$K$5:$K$304)),""))</f>
        <v/>
      </c>
      <c r="H11" s="7">
        <f>IF(OR(A11="",B11=""),"",IFERROR(T(LOOKUP(2,1/(('Service log'!$B$5:$B$304=A11)*('Service log'!$A$5:$A$304=B11)),'Service log'!$M$5:$M$304)),""))</f>
        <v/>
      </c>
      <c r="I11" s="9">
        <f>IF(OR(A11="",B11=""),"",IFERROR(1/(1/(LOOKUP(2,1/(('Service log'!$B$5:$B$304=A11)*('Service log'!$A$5:$A$304=B11)),'Service log'!$O$5:$O$304))),""))</f>
        <v/>
      </c>
      <c r="J11" s="9">
        <f>IF(OR(A11="",B11=""),"",IFERROR(1/(1/(LOOKUP(2,1/(('Service log'!$B$5:$B$304=A11)*('Service log'!$A$5:$A$304=B11)),'Service log'!$P$5:$P$304))),""))</f>
        <v/>
      </c>
      <c r="K11" s="7">
        <f>IF(OR(A11="",B11=""),"",IFERROR(T(LOOKUP(2,1/(('Service log'!$B$5:$B$304=A11)*('Service log'!$A$5:$A$304=B11)),'Service log'!$Q$5:$Q$304)),""))</f>
        <v/>
      </c>
      <c r="L11" s="7">
        <f>IF(A11="","",IF(B11="","No record",IF(OR(C11="Not done",D11="Needs attention",E11="0.75%",E11="1% or more",F11="Needs attention",G11="Play found",H11="Needs attention"),"Yes","No")))</f>
        <v/>
      </c>
    </row>
    <row r="12" ht="20" customHeight="1">
      <c r="A12" s="8">
        <f>IF(Bikes!$A$11="","",Bikes!$A$11)</f>
        <v/>
      </c>
      <c r="B12" s="6">
        <f>IF(A12="","",IF(COUNTIFS('Service log'!$B$5:$B$304,A12,'Service log'!$A$5:$A$304,"&gt;0")=0,"",MAXIFS('Service log'!$A$5:$A$304,'Service log'!$B$5:$B$304,A12)))</f>
        <v/>
      </c>
      <c r="C12" s="7">
        <f>IF(OR(A12="",B12=""),"",IFERROR(T(LOOKUP(2,1/(('Service log'!$B$5:$B$304=A12)*('Service log'!$A$5:$A$304=B12)),'Service log'!$D$5:$D$304)),""))</f>
        <v/>
      </c>
      <c r="D12" s="7">
        <f>IF(OR(A12="",B12=""),"",IFERROR(T(LOOKUP(2,1/(('Service log'!$B$5:$B$304=A12)*('Service log'!$A$5:$A$304=B12)),'Service log'!$F$5:$F$304)),""))</f>
        <v/>
      </c>
      <c r="E12" s="7">
        <f>IF(OR(A12="",B12=""),"",IFERROR(T(LOOKUP(2,1/(('Service log'!$B$5:$B$304=A12)*('Service log'!$A$5:$A$304=B12)),'Service log'!$G$5:$G$304)),""))</f>
        <v/>
      </c>
      <c r="F12" s="7">
        <f>IF(OR(A12="",B12=""),"",IFERROR(T(LOOKUP(2,1/(('Service log'!$B$5:$B$304=A12)*('Service log'!$A$5:$A$304=B12)),'Service log'!$I$5:$I$304)),""))</f>
        <v/>
      </c>
      <c r="G12" s="7">
        <f>IF(OR(A12="",B12=""),"",IFERROR(T(LOOKUP(2,1/(('Service log'!$B$5:$B$304=A12)*('Service log'!$A$5:$A$304=B12)),'Service log'!$K$5:$K$304)),""))</f>
        <v/>
      </c>
      <c r="H12" s="7">
        <f>IF(OR(A12="",B12=""),"",IFERROR(T(LOOKUP(2,1/(('Service log'!$B$5:$B$304=A12)*('Service log'!$A$5:$A$304=B12)),'Service log'!$M$5:$M$304)),""))</f>
        <v/>
      </c>
      <c r="I12" s="9">
        <f>IF(OR(A12="",B12=""),"",IFERROR(1/(1/(LOOKUP(2,1/(('Service log'!$B$5:$B$304=A12)*('Service log'!$A$5:$A$304=B12)),'Service log'!$O$5:$O$304))),""))</f>
        <v/>
      </c>
      <c r="J12" s="9">
        <f>IF(OR(A12="",B12=""),"",IFERROR(1/(1/(LOOKUP(2,1/(('Service log'!$B$5:$B$304=A12)*('Service log'!$A$5:$A$304=B12)),'Service log'!$P$5:$P$304))),""))</f>
        <v/>
      </c>
      <c r="K12" s="7">
        <f>IF(OR(A12="",B12=""),"",IFERROR(T(LOOKUP(2,1/(('Service log'!$B$5:$B$304=A12)*('Service log'!$A$5:$A$304=B12)),'Service log'!$Q$5:$Q$304)),""))</f>
        <v/>
      </c>
      <c r="L12" s="7">
        <f>IF(A12="","",IF(B12="","No record",IF(OR(C12="Not done",D12="Needs attention",E12="0.75%",E12="1% or more",F12="Needs attention",G12="Play found",H12="Needs attention"),"Yes","No")))</f>
        <v/>
      </c>
    </row>
    <row r="13" ht="20" customHeight="1">
      <c r="A13" s="8">
        <f>IF(Bikes!$A$12="","",Bikes!$A$12)</f>
        <v/>
      </c>
      <c r="B13" s="6">
        <f>IF(A13="","",IF(COUNTIFS('Service log'!$B$5:$B$304,A13,'Service log'!$A$5:$A$304,"&gt;0")=0,"",MAXIFS('Service log'!$A$5:$A$304,'Service log'!$B$5:$B$304,A13)))</f>
        <v/>
      </c>
      <c r="C13" s="7">
        <f>IF(OR(A13="",B13=""),"",IFERROR(T(LOOKUP(2,1/(('Service log'!$B$5:$B$304=A13)*('Service log'!$A$5:$A$304=B13)),'Service log'!$D$5:$D$304)),""))</f>
        <v/>
      </c>
      <c r="D13" s="7">
        <f>IF(OR(A13="",B13=""),"",IFERROR(T(LOOKUP(2,1/(('Service log'!$B$5:$B$304=A13)*('Service log'!$A$5:$A$304=B13)),'Service log'!$F$5:$F$304)),""))</f>
        <v/>
      </c>
      <c r="E13" s="7">
        <f>IF(OR(A13="",B13=""),"",IFERROR(T(LOOKUP(2,1/(('Service log'!$B$5:$B$304=A13)*('Service log'!$A$5:$A$304=B13)),'Service log'!$G$5:$G$304)),""))</f>
        <v/>
      </c>
      <c r="F13" s="7">
        <f>IF(OR(A13="",B13=""),"",IFERROR(T(LOOKUP(2,1/(('Service log'!$B$5:$B$304=A13)*('Service log'!$A$5:$A$304=B13)),'Service log'!$I$5:$I$304)),""))</f>
        <v/>
      </c>
      <c r="G13" s="7">
        <f>IF(OR(A13="",B13=""),"",IFERROR(T(LOOKUP(2,1/(('Service log'!$B$5:$B$304=A13)*('Service log'!$A$5:$A$304=B13)),'Service log'!$K$5:$K$304)),""))</f>
        <v/>
      </c>
      <c r="H13" s="7">
        <f>IF(OR(A13="",B13=""),"",IFERROR(T(LOOKUP(2,1/(('Service log'!$B$5:$B$304=A13)*('Service log'!$A$5:$A$304=B13)),'Service log'!$M$5:$M$304)),""))</f>
        <v/>
      </c>
      <c r="I13" s="9">
        <f>IF(OR(A13="",B13=""),"",IFERROR(1/(1/(LOOKUP(2,1/(('Service log'!$B$5:$B$304=A13)*('Service log'!$A$5:$A$304=B13)),'Service log'!$O$5:$O$304))),""))</f>
        <v/>
      </c>
      <c r="J13" s="9">
        <f>IF(OR(A13="",B13=""),"",IFERROR(1/(1/(LOOKUP(2,1/(('Service log'!$B$5:$B$304=A13)*('Service log'!$A$5:$A$304=B13)),'Service log'!$P$5:$P$304))),""))</f>
        <v/>
      </c>
      <c r="K13" s="7">
        <f>IF(OR(A13="",B13=""),"",IFERROR(T(LOOKUP(2,1/(('Service log'!$B$5:$B$304=A13)*('Service log'!$A$5:$A$304=B13)),'Service log'!$Q$5:$Q$304)),""))</f>
        <v/>
      </c>
      <c r="L13" s="7">
        <f>IF(A13="","",IF(B13="","No record",IF(OR(C13="Not done",D13="Needs attention",E13="0.75%",E13="1% or more",F13="Needs attention",G13="Play found",H13="Needs attention"),"Yes","No")))</f>
        <v/>
      </c>
    </row>
    <row r="14" ht="20" customHeight="1">
      <c r="A14" s="8">
        <f>IF(Bikes!$A$13="","",Bikes!$A$13)</f>
        <v/>
      </c>
      <c r="B14" s="6">
        <f>IF(A14="","",IF(COUNTIFS('Service log'!$B$5:$B$304,A14,'Service log'!$A$5:$A$304,"&gt;0")=0,"",MAXIFS('Service log'!$A$5:$A$304,'Service log'!$B$5:$B$304,A14)))</f>
        <v/>
      </c>
      <c r="C14" s="7">
        <f>IF(OR(A14="",B14=""),"",IFERROR(T(LOOKUP(2,1/(('Service log'!$B$5:$B$304=A14)*('Service log'!$A$5:$A$304=B14)),'Service log'!$D$5:$D$304)),""))</f>
        <v/>
      </c>
      <c r="D14" s="7">
        <f>IF(OR(A14="",B14=""),"",IFERROR(T(LOOKUP(2,1/(('Service log'!$B$5:$B$304=A14)*('Service log'!$A$5:$A$304=B14)),'Service log'!$F$5:$F$304)),""))</f>
        <v/>
      </c>
      <c r="E14" s="7">
        <f>IF(OR(A14="",B14=""),"",IFERROR(T(LOOKUP(2,1/(('Service log'!$B$5:$B$304=A14)*('Service log'!$A$5:$A$304=B14)),'Service log'!$G$5:$G$304)),""))</f>
        <v/>
      </c>
      <c r="F14" s="7">
        <f>IF(OR(A14="",B14=""),"",IFERROR(T(LOOKUP(2,1/(('Service log'!$B$5:$B$304=A14)*('Service log'!$A$5:$A$304=B14)),'Service log'!$I$5:$I$304)),""))</f>
        <v/>
      </c>
      <c r="G14" s="7">
        <f>IF(OR(A14="",B14=""),"",IFERROR(T(LOOKUP(2,1/(('Service log'!$B$5:$B$304=A14)*('Service log'!$A$5:$A$304=B14)),'Service log'!$K$5:$K$304)),""))</f>
        <v/>
      </c>
      <c r="H14" s="7">
        <f>IF(OR(A14="",B14=""),"",IFERROR(T(LOOKUP(2,1/(('Service log'!$B$5:$B$304=A14)*('Service log'!$A$5:$A$304=B14)),'Service log'!$M$5:$M$304)),""))</f>
        <v/>
      </c>
      <c r="I14" s="9">
        <f>IF(OR(A14="",B14=""),"",IFERROR(1/(1/(LOOKUP(2,1/(('Service log'!$B$5:$B$304=A14)*('Service log'!$A$5:$A$304=B14)),'Service log'!$O$5:$O$304))),""))</f>
        <v/>
      </c>
      <c r="J14" s="9">
        <f>IF(OR(A14="",B14=""),"",IFERROR(1/(1/(LOOKUP(2,1/(('Service log'!$B$5:$B$304=A14)*('Service log'!$A$5:$A$304=B14)),'Service log'!$P$5:$P$304))),""))</f>
        <v/>
      </c>
      <c r="K14" s="7">
        <f>IF(OR(A14="",B14=""),"",IFERROR(T(LOOKUP(2,1/(('Service log'!$B$5:$B$304=A14)*('Service log'!$A$5:$A$304=B14)),'Service log'!$Q$5:$Q$304)),""))</f>
        <v/>
      </c>
      <c r="L14" s="7">
        <f>IF(A14="","",IF(B14="","No record",IF(OR(C14="Not done",D14="Needs attention",E14="0.75%",E14="1% or more",F14="Needs attention",G14="Play found",H14="Needs attention"),"Yes","No")))</f>
        <v/>
      </c>
    </row>
    <row r="15" ht="20" customHeight="1">
      <c r="A15" s="8">
        <f>IF(Bikes!$A$14="","",Bikes!$A$14)</f>
        <v/>
      </c>
      <c r="B15" s="6">
        <f>IF(A15="","",IF(COUNTIFS('Service log'!$B$5:$B$304,A15,'Service log'!$A$5:$A$304,"&gt;0")=0,"",MAXIFS('Service log'!$A$5:$A$304,'Service log'!$B$5:$B$304,A15)))</f>
        <v/>
      </c>
      <c r="C15" s="7">
        <f>IF(OR(A15="",B15=""),"",IFERROR(T(LOOKUP(2,1/(('Service log'!$B$5:$B$304=A15)*('Service log'!$A$5:$A$304=B15)),'Service log'!$D$5:$D$304)),""))</f>
        <v/>
      </c>
      <c r="D15" s="7">
        <f>IF(OR(A15="",B15=""),"",IFERROR(T(LOOKUP(2,1/(('Service log'!$B$5:$B$304=A15)*('Service log'!$A$5:$A$304=B15)),'Service log'!$F$5:$F$304)),""))</f>
        <v/>
      </c>
      <c r="E15" s="7">
        <f>IF(OR(A15="",B15=""),"",IFERROR(T(LOOKUP(2,1/(('Service log'!$B$5:$B$304=A15)*('Service log'!$A$5:$A$304=B15)),'Service log'!$G$5:$G$304)),""))</f>
        <v/>
      </c>
      <c r="F15" s="7">
        <f>IF(OR(A15="",B15=""),"",IFERROR(T(LOOKUP(2,1/(('Service log'!$B$5:$B$304=A15)*('Service log'!$A$5:$A$304=B15)),'Service log'!$I$5:$I$304)),""))</f>
        <v/>
      </c>
      <c r="G15" s="7">
        <f>IF(OR(A15="",B15=""),"",IFERROR(T(LOOKUP(2,1/(('Service log'!$B$5:$B$304=A15)*('Service log'!$A$5:$A$304=B15)),'Service log'!$K$5:$K$304)),""))</f>
        <v/>
      </c>
      <c r="H15" s="7">
        <f>IF(OR(A15="",B15=""),"",IFERROR(T(LOOKUP(2,1/(('Service log'!$B$5:$B$304=A15)*('Service log'!$A$5:$A$304=B15)),'Service log'!$M$5:$M$304)),""))</f>
        <v/>
      </c>
      <c r="I15" s="9">
        <f>IF(OR(A15="",B15=""),"",IFERROR(1/(1/(LOOKUP(2,1/(('Service log'!$B$5:$B$304=A15)*('Service log'!$A$5:$A$304=B15)),'Service log'!$O$5:$O$304))),""))</f>
        <v/>
      </c>
      <c r="J15" s="9">
        <f>IF(OR(A15="",B15=""),"",IFERROR(1/(1/(LOOKUP(2,1/(('Service log'!$B$5:$B$304=A15)*('Service log'!$A$5:$A$304=B15)),'Service log'!$P$5:$P$304))),""))</f>
        <v/>
      </c>
      <c r="K15" s="7">
        <f>IF(OR(A15="",B15=""),"",IFERROR(T(LOOKUP(2,1/(('Service log'!$B$5:$B$304=A15)*('Service log'!$A$5:$A$304=B15)),'Service log'!$Q$5:$Q$304)),""))</f>
        <v/>
      </c>
      <c r="L15" s="7">
        <f>IF(A15="","",IF(B15="","No record",IF(OR(C15="Not done",D15="Needs attention",E15="0.75%",E15="1% or more",F15="Needs attention",G15="Play found",H15="Needs attention"),"Yes","No")))</f>
        <v/>
      </c>
    </row>
    <row r="16" ht="20" customHeight="1">
      <c r="A16" s="8">
        <f>IF(Bikes!$A$15="","",Bikes!$A$15)</f>
        <v/>
      </c>
      <c r="B16" s="6">
        <f>IF(A16="","",IF(COUNTIFS('Service log'!$B$5:$B$304,A16,'Service log'!$A$5:$A$304,"&gt;0")=0,"",MAXIFS('Service log'!$A$5:$A$304,'Service log'!$B$5:$B$304,A16)))</f>
        <v/>
      </c>
      <c r="C16" s="7">
        <f>IF(OR(A16="",B16=""),"",IFERROR(T(LOOKUP(2,1/(('Service log'!$B$5:$B$304=A16)*('Service log'!$A$5:$A$304=B16)),'Service log'!$D$5:$D$304)),""))</f>
        <v/>
      </c>
      <c r="D16" s="7">
        <f>IF(OR(A16="",B16=""),"",IFERROR(T(LOOKUP(2,1/(('Service log'!$B$5:$B$304=A16)*('Service log'!$A$5:$A$304=B16)),'Service log'!$F$5:$F$304)),""))</f>
        <v/>
      </c>
      <c r="E16" s="7">
        <f>IF(OR(A16="",B16=""),"",IFERROR(T(LOOKUP(2,1/(('Service log'!$B$5:$B$304=A16)*('Service log'!$A$5:$A$304=B16)),'Service log'!$G$5:$G$304)),""))</f>
        <v/>
      </c>
      <c r="F16" s="7">
        <f>IF(OR(A16="",B16=""),"",IFERROR(T(LOOKUP(2,1/(('Service log'!$B$5:$B$304=A16)*('Service log'!$A$5:$A$304=B16)),'Service log'!$I$5:$I$304)),""))</f>
        <v/>
      </c>
      <c r="G16" s="7">
        <f>IF(OR(A16="",B16=""),"",IFERROR(T(LOOKUP(2,1/(('Service log'!$B$5:$B$304=A16)*('Service log'!$A$5:$A$304=B16)),'Service log'!$K$5:$K$304)),""))</f>
        <v/>
      </c>
      <c r="H16" s="7">
        <f>IF(OR(A16="",B16=""),"",IFERROR(T(LOOKUP(2,1/(('Service log'!$B$5:$B$304=A16)*('Service log'!$A$5:$A$304=B16)),'Service log'!$M$5:$M$304)),""))</f>
        <v/>
      </c>
      <c r="I16" s="9">
        <f>IF(OR(A16="",B16=""),"",IFERROR(1/(1/(LOOKUP(2,1/(('Service log'!$B$5:$B$304=A16)*('Service log'!$A$5:$A$304=B16)),'Service log'!$O$5:$O$304))),""))</f>
        <v/>
      </c>
      <c r="J16" s="9">
        <f>IF(OR(A16="",B16=""),"",IFERROR(1/(1/(LOOKUP(2,1/(('Service log'!$B$5:$B$304=A16)*('Service log'!$A$5:$A$304=B16)),'Service log'!$P$5:$P$304))),""))</f>
        <v/>
      </c>
      <c r="K16" s="7">
        <f>IF(OR(A16="",B16=""),"",IFERROR(T(LOOKUP(2,1/(('Service log'!$B$5:$B$304=A16)*('Service log'!$A$5:$A$304=B16)),'Service log'!$Q$5:$Q$304)),""))</f>
        <v/>
      </c>
      <c r="L16" s="7">
        <f>IF(A16="","",IF(B16="","No record",IF(OR(C16="Not done",D16="Needs attention",E16="0.75%",E16="1% or more",F16="Needs attention",G16="Play found",H16="Needs attention"),"Yes","No")))</f>
        <v/>
      </c>
    </row>
    <row r="17" ht="20" customHeight="1">
      <c r="A17" s="8">
        <f>IF(Bikes!$A$16="","",Bikes!$A$16)</f>
        <v/>
      </c>
      <c r="B17" s="6">
        <f>IF(A17="","",IF(COUNTIFS('Service log'!$B$5:$B$304,A17,'Service log'!$A$5:$A$304,"&gt;0")=0,"",MAXIFS('Service log'!$A$5:$A$304,'Service log'!$B$5:$B$304,A17)))</f>
        <v/>
      </c>
      <c r="C17" s="7">
        <f>IF(OR(A17="",B17=""),"",IFERROR(T(LOOKUP(2,1/(('Service log'!$B$5:$B$304=A17)*('Service log'!$A$5:$A$304=B17)),'Service log'!$D$5:$D$304)),""))</f>
        <v/>
      </c>
      <c r="D17" s="7">
        <f>IF(OR(A17="",B17=""),"",IFERROR(T(LOOKUP(2,1/(('Service log'!$B$5:$B$304=A17)*('Service log'!$A$5:$A$304=B17)),'Service log'!$F$5:$F$304)),""))</f>
        <v/>
      </c>
      <c r="E17" s="7">
        <f>IF(OR(A17="",B17=""),"",IFERROR(T(LOOKUP(2,1/(('Service log'!$B$5:$B$304=A17)*('Service log'!$A$5:$A$304=B17)),'Service log'!$G$5:$G$304)),""))</f>
        <v/>
      </c>
      <c r="F17" s="7">
        <f>IF(OR(A17="",B17=""),"",IFERROR(T(LOOKUP(2,1/(('Service log'!$B$5:$B$304=A17)*('Service log'!$A$5:$A$304=B17)),'Service log'!$I$5:$I$304)),""))</f>
        <v/>
      </c>
      <c r="G17" s="7">
        <f>IF(OR(A17="",B17=""),"",IFERROR(T(LOOKUP(2,1/(('Service log'!$B$5:$B$304=A17)*('Service log'!$A$5:$A$304=B17)),'Service log'!$K$5:$K$304)),""))</f>
        <v/>
      </c>
      <c r="H17" s="7">
        <f>IF(OR(A17="",B17=""),"",IFERROR(T(LOOKUP(2,1/(('Service log'!$B$5:$B$304=A17)*('Service log'!$A$5:$A$304=B17)),'Service log'!$M$5:$M$304)),""))</f>
        <v/>
      </c>
      <c r="I17" s="9">
        <f>IF(OR(A17="",B17=""),"",IFERROR(1/(1/(LOOKUP(2,1/(('Service log'!$B$5:$B$304=A17)*('Service log'!$A$5:$A$304=B17)),'Service log'!$O$5:$O$304))),""))</f>
        <v/>
      </c>
      <c r="J17" s="9">
        <f>IF(OR(A17="",B17=""),"",IFERROR(1/(1/(LOOKUP(2,1/(('Service log'!$B$5:$B$304=A17)*('Service log'!$A$5:$A$304=B17)),'Service log'!$P$5:$P$304))),""))</f>
        <v/>
      </c>
      <c r="K17" s="7">
        <f>IF(OR(A17="",B17=""),"",IFERROR(T(LOOKUP(2,1/(('Service log'!$B$5:$B$304=A17)*('Service log'!$A$5:$A$304=B17)),'Service log'!$Q$5:$Q$304)),""))</f>
        <v/>
      </c>
      <c r="L17" s="7">
        <f>IF(A17="","",IF(B17="","No record",IF(OR(C17="Not done",D17="Needs attention",E17="0.75%",E17="1% or more",F17="Needs attention",G17="Play found",H17="Needs attention"),"Yes","No")))</f>
        <v/>
      </c>
    </row>
    <row r="18" ht="20" customHeight="1">
      <c r="A18" s="8">
        <f>IF(Bikes!$A$17="","",Bikes!$A$17)</f>
        <v/>
      </c>
      <c r="B18" s="6">
        <f>IF(A18="","",IF(COUNTIFS('Service log'!$B$5:$B$304,A18,'Service log'!$A$5:$A$304,"&gt;0")=0,"",MAXIFS('Service log'!$A$5:$A$304,'Service log'!$B$5:$B$304,A18)))</f>
        <v/>
      </c>
      <c r="C18" s="7">
        <f>IF(OR(A18="",B18=""),"",IFERROR(T(LOOKUP(2,1/(('Service log'!$B$5:$B$304=A18)*('Service log'!$A$5:$A$304=B18)),'Service log'!$D$5:$D$304)),""))</f>
        <v/>
      </c>
      <c r="D18" s="7">
        <f>IF(OR(A18="",B18=""),"",IFERROR(T(LOOKUP(2,1/(('Service log'!$B$5:$B$304=A18)*('Service log'!$A$5:$A$304=B18)),'Service log'!$F$5:$F$304)),""))</f>
        <v/>
      </c>
      <c r="E18" s="7">
        <f>IF(OR(A18="",B18=""),"",IFERROR(T(LOOKUP(2,1/(('Service log'!$B$5:$B$304=A18)*('Service log'!$A$5:$A$304=B18)),'Service log'!$G$5:$G$304)),""))</f>
        <v/>
      </c>
      <c r="F18" s="7">
        <f>IF(OR(A18="",B18=""),"",IFERROR(T(LOOKUP(2,1/(('Service log'!$B$5:$B$304=A18)*('Service log'!$A$5:$A$304=B18)),'Service log'!$I$5:$I$304)),""))</f>
        <v/>
      </c>
      <c r="G18" s="7">
        <f>IF(OR(A18="",B18=""),"",IFERROR(T(LOOKUP(2,1/(('Service log'!$B$5:$B$304=A18)*('Service log'!$A$5:$A$304=B18)),'Service log'!$K$5:$K$304)),""))</f>
        <v/>
      </c>
      <c r="H18" s="7">
        <f>IF(OR(A18="",B18=""),"",IFERROR(T(LOOKUP(2,1/(('Service log'!$B$5:$B$304=A18)*('Service log'!$A$5:$A$304=B18)),'Service log'!$M$5:$M$304)),""))</f>
        <v/>
      </c>
      <c r="I18" s="9">
        <f>IF(OR(A18="",B18=""),"",IFERROR(1/(1/(LOOKUP(2,1/(('Service log'!$B$5:$B$304=A18)*('Service log'!$A$5:$A$304=B18)),'Service log'!$O$5:$O$304))),""))</f>
        <v/>
      </c>
      <c r="J18" s="9">
        <f>IF(OR(A18="",B18=""),"",IFERROR(1/(1/(LOOKUP(2,1/(('Service log'!$B$5:$B$304=A18)*('Service log'!$A$5:$A$304=B18)),'Service log'!$P$5:$P$304))),""))</f>
        <v/>
      </c>
      <c r="K18" s="7">
        <f>IF(OR(A18="",B18=""),"",IFERROR(T(LOOKUP(2,1/(('Service log'!$B$5:$B$304=A18)*('Service log'!$A$5:$A$304=B18)),'Service log'!$Q$5:$Q$304)),""))</f>
        <v/>
      </c>
      <c r="L18" s="7">
        <f>IF(A18="","",IF(B18="","No record",IF(OR(C18="Not done",D18="Needs attention",E18="0.75%",E18="1% or more",F18="Needs attention",G18="Play found",H18="Needs attention"),"Yes","No")))</f>
        <v/>
      </c>
    </row>
    <row r="19" ht="20" customHeight="1">
      <c r="A19" s="8">
        <f>IF(Bikes!$A$18="","",Bikes!$A$18)</f>
        <v/>
      </c>
      <c r="B19" s="6">
        <f>IF(A19="","",IF(COUNTIFS('Service log'!$B$5:$B$304,A19,'Service log'!$A$5:$A$304,"&gt;0")=0,"",MAXIFS('Service log'!$A$5:$A$304,'Service log'!$B$5:$B$304,A19)))</f>
        <v/>
      </c>
      <c r="C19" s="7">
        <f>IF(OR(A19="",B19=""),"",IFERROR(T(LOOKUP(2,1/(('Service log'!$B$5:$B$304=A19)*('Service log'!$A$5:$A$304=B19)),'Service log'!$D$5:$D$304)),""))</f>
        <v/>
      </c>
      <c r="D19" s="7">
        <f>IF(OR(A19="",B19=""),"",IFERROR(T(LOOKUP(2,1/(('Service log'!$B$5:$B$304=A19)*('Service log'!$A$5:$A$304=B19)),'Service log'!$F$5:$F$304)),""))</f>
        <v/>
      </c>
      <c r="E19" s="7">
        <f>IF(OR(A19="",B19=""),"",IFERROR(T(LOOKUP(2,1/(('Service log'!$B$5:$B$304=A19)*('Service log'!$A$5:$A$304=B19)),'Service log'!$G$5:$G$304)),""))</f>
        <v/>
      </c>
      <c r="F19" s="7">
        <f>IF(OR(A19="",B19=""),"",IFERROR(T(LOOKUP(2,1/(('Service log'!$B$5:$B$304=A19)*('Service log'!$A$5:$A$304=B19)),'Service log'!$I$5:$I$304)),""))</f>
        <v/>
      </c>
      <c r="G19" s="7">
        <f>IF(OR(A19="",B19=""),"",IFERROR(T(LOOKUP(2,1/(('Service log'!$B$5:$B$304=A19)*('Service log'!$A$5:$A$304=B19)),'Service log'!$K$5:$K$304)),""))</f>
        <v/>
      </c>
      <c r="H19" s="7">
        <f>IF(OR(A19="",B19=""),"",IFERROR(T(LOOKUP(2,1/(('Service log'!$B$5:$B$304=A19)*('Service log'!$A$5:$A$304=B19)),'Service log'!$M$5:$M$304)),""))</f>
        <v/>
      </c>
      <c r="I19" s="9">
        <f>IF(OR(A19="",B19=""),"",IFERROR(1/(1/(LOOKUP(2,1/(('Service log'!$B$5:$B$304=A19)*('Service log'!$A$5:$A$304=B19)),'Service log'!$O$5:$O$304))),""))</f>
        <v/>
      </c>
      <c r="J19" s="9">
        <f>IF(OR(A19="",B19=""),"",IFERROR(1/(1/(LOOKUP(2,1/(('Service log'!$B$5:$B$304=A19)*('Service log'!$A$5:$A$304=B19)),'Service log'!$P$5:$P$304))),""))</f>
        <v/>
      </c>
      <c r="K19" s="7">
        <f>IF(OR(A19="",B19=""),"",IFERROR(T(LOOKUP(2,1/(('Service log'!$B$5:$B$304=A19)*('Service log'!$A$5:$A$304=B19)),'Service log'!$Q$5:$Q$304)),""))</f>
        <v/>
      </c>
      <c r="L19" s="7">
        <f>IF(A19="","",IF(B19="","No record",IF(OR(C19="Not done",D19="Needs attention",E19="0.75%",E19="1% or more",F19="Needs attention",G19="Play found",H19="Needs attention"),"Yes","No")))</f>
        <v/>
      </c>
    </row>
    <row r="20" ht="20" customHeight="1">
      <c r="A20" s="8">
        <f>IF(Bikes!$A$19="","",Bikes!$A$19)</f>
        <v/>
      </c>
      <c r="B20" s="6">
        <f>IF(A20="","",IF(COUNTIFS('Service log'!$B$5:$B$304,A20,'Service log'!$A$5:$A$304,"&gt;0")=0,"",MAXIFS('Service log'!$A$5:$A$304,'Service log'!$B$5:$B$304,A20)))</f>
        <v/>
      </c>
      <c r="C20" s="7">
        <f>IF(OR(A20="",B20=""),"",IFERROR(T(LOOKUP(2,1/(('Service log'!$B$5:$B$304=A20)*('Service log'!$A$5:$A$304=B20)),'Service log'!$D$5:$D$304)),""))</f>
        <v/>
      </c>
      <c r="D20" s="7">
        <f>IF(OR(A20="",B20=""),"",IFERROR(T(LOOKUP(2,1/(('Service log'!$B$5:$B$304=A20)*('Service log'!$A$5:$A$304=B20)),'Service log'!$F$5:$F$304)),""))</f>
        <v/>
      </c>
      <c r="E20" s="7">
        <f>IF(OR(A20="",B20=""),"",IFERROR(T(LOOKUP(2,1/(('Service log'!$B$5:$B$304=A20)*('Service log'!$A$5:$A$304=B20)),'Service log'!$G$5:$G$304)),""))</f>
        <v/>
      </c>
      <c r="F20" s="7">
        <f>IF(OR(A20="",B20=""),"",IFERROR(T(LOOKUP(2,1/(('Service log'!$B$5:$B$304=A20)*('Service log'!$A$5:$A$304=B20)),'Service log'!$I$5:$I$304)),""))</f>
        <v/>
      </c>
      <c r="G20" s="7">
        <f>IF(OR(A20="",B20=""),"",IFERROR(T(LOOKUP(2,1/(('Service log'!$B$5:$B$304=A20)*('Service log'!$A$5:$A$304=B20)),'Service log'!$K$5:$K$304)),""))</f>
        <v/>
      </c>
      <c r="H20" s="7">
        <f>IF(OR(A20="",B20=""),"",IFERROR(T(LOOKUP(2,1/(('Service log'!$B$5:$B$304=A20)*('Service log'!$A$5:$A$304=B20)),'Service log'!$M$5:$M$304)),""))</f>
        <v/>
      </c>
      <c r="I20" s="9">
        <f>IF(OR(A20="",B20=""),"",IFERROR(1/(1/(LOOKUP(2,1/(('Service log'!$B$5:$B$304=A20)*('Service log'!$A$5:$A$304=B20)),'Service log'!$O$5:$O$304))),""))</f>
        <v/>
      </c>
      <c r="J20" s="9">
        <f>IF(OR(A20="",B20=""),"",IFERROR(1/(1/(LOOKUP(2,1/(('Service log'!$B$5:$B$304=A20)*('Service log'!$A$5:$A$304=B20)),'Service log'!$P$5:$P$304))),""))</f>
        <v/>
      </c>
      <c r="K20" s="7">
        <f>IF(OR(A20="",B20=""),"",IFERROR(T(LOOKUP(2,1/(('Service log'!$B$5:$B$304=A20)*('Service log'!$A$5:$A$304=B20)),'Service log'!$Q$5:$Q$304)),""))</f>
        <v/>
      </c>
      <c r="L20" s="7">
        <f>IF(A20="","",IF(B20="","No record",IF(OR(C20="Not done",D20="Needs attention",E20="0.75%",E20="1% or more",F20="Needs attention",G20="Play found",H20="Needs attention"),"Yes","No")))</f>
        <v/>
      </c>
    </row>
    <row r="21" ht="20" customHeight="1">
      <c r="A21" s="8">
        <f>IF(Bikes!$A$20="","",Bikes!$A$20)</f>
        <v/>
      </c>
      <c r="B21" s="6">
        <f>IF(A21="","",IF(COUNTIFS('Service log'!$B$5:$B$304,A21,'Service log'!$A$5:$A$304,"&gt;0")=0,"",MAXIFS('Service log'!$A$5:$A$304,'Service log'!$B$5:$B$304,A21)))</f>
        <v/>
      </c>
      <c r="C21" s="7">
        <f>IF(OR(A21="",B21=""),"",IFERROR(T(LOOKUP(2,1/(('Service log'!$B$5:$B$304=A21)*('Service log'!$A$5:$A$304=B21)),'Service log'!$D$5:$D$304)),""))</f>
        <v/>
      </c>
      <c r="D21" s="7">
        <f>IF(OR(A21="",B21=""),"",IFERROR(T(LOOKUP(2,1/(('Service log'!$B$5:$B$304=A21)*('Service log'!$A$5:$A$304=B21)),'Service log'!$F$5:$F$304)),""))</f>
        <v/>
      </c>
      <c r="E21" s="7">
        <f>IF(OR(A21="",B21=""),"",IFERROR(T(LOOKUP(2,1/(('Service log'!$B$5:$B$304=A21)*('Service log'!$A$5:$A$304=B21)),'Service log'!$G$5:$G$304)),""))</f>
        <v/>
      </c>
      <c r="F21" s="7">
        <f>IF(OR(A21="",B21=""),"",IFERROR(T(LOOKUP(2,1/(('Service log'!$B$5:$B$304=A21)*('Service log'!$A$5:$A$304=B21)),'Service log'!$I$5:$I$304)),""))</f>
        <v/>
      </c>
      <c r="G21" s="7">
        <f>IF(OR(A21="",B21=""),"",IFERROR(T(LOOKUP(2,1/(('Service log'!$B$5:$B$304=A21)*('Service log'!$A$5:$A$304=B21)),'Service log'!$K$5:$K$304)),""))</f>
        <v/>
      </c>
      <c r="H21" s="7">
        <f>IF(OR(A21="",B21=""),"",IFERROR(T(LOOKUP(2,1/(('Service log'!$B$5:$B$304=A21)*('Service log'!$A$5:$A$304=B21)),'Service log'!$M$5:$M$304)),""))</f>
        <v/>
      </c>
      <c r="I21" s="9">
        <f>IF(OR(A21="",B21=""),"",IFERROR(1/(1/(LOOKUP(2,1/(('Service log'!$B$5:$B$304=A21)*('Service log'!$A$5:$A$304=B21)),'Service log'!$O$5:$O$304))),""))</f>
        <v/>
      </c>
      <c r="J21" s="9">
        <f>IF(OR(A21="",B21=""),"",IFERROR(1/(1/(LOOKUP(2,1/(('Service log'!$B$5:$B$304=A21)*('Service log'!$A$5:$A$304=B21)),'Service log'!$P$5:$P$304))),""))</f>
        <v/>
      </c>
      <c r="K21" s="7">
        <f>IF(OR(A21="",B21=""),"",IFERROR(T(LOOKUP(2,1/(('Service log'!$B$5:$B$304=A21)*('Service log'!$A$5:$A$304=B21)),'Service log'!$Q$5:$Q$304)),""))</f>
        <v/>
      </c>
      <c r="L21" s="7">
        <f>IF(A21="","",IF(B21="","No record",IF(OR(C21="Not done",D21="Needs attention",E21="0.75%",E21="1% or more",F21="Needs attention",G21="Play found",H21="Needs attention"),"Yes","No")))</f>
        <v/>
      </c>
    </row>
    <row r="22" ht="20" customHeight="1">
      <c r="A22" s="8">
        <f>IF(Bikes!$A$21="","",Bikes!$A$21)</f>
        <v/>
      </c>
      <c r="B22" s="6">
        <f>IF(A22="","",IF(COUNTIFS('Service log'!$B$5:$B$304,A22,'Service log'!$A$5:$A$304,"&gt;0")=0,"",MAXIFS('Service log'!$A$5:$A$304,'Service log'!$B$5:$B$304,A22)))</f>
        <v/>
      </c>
      <c r="C22" s="7">
        <f>IF(OR(A22="",B22=""),"",IFERROR(T(LOOKUP(2,1/(('Service log'!$B$5:$B$304=A22)*('Service log'!$A$5:$A$304=B22)),'Service log'!$D$5:$D$304)),""))</f>
        <v/>
      </c>
      <c r="D22" s="7">
        <f>IF(OR(A22="",B22=""),"",IFERROR(T(LOOKUP(2,1/(('Service log'!$B$5:$B$304=A22)*('Service log'!$A$5:$A$304=B22)),'Service log'!$F$5:$F$304)),""))</f>
        <v/>
      </c>
      <c r="E22" s="7">
        <f>IF(OR(A22="",B22=""),"",IFERROR(T(LOOKUP(2,1/(('Service log'!$B$5:$B$304=A22)*('Service log'!$A$5:$A$304=B22)),'Service log'!$G$5:$G$304)),""))</f>
        <v/>
      </c>
      <c r="F22" s="7">
        <f>IF(OR(A22="",B22=""),"",IFERROR(T(LOOKUP(2,1/(('Service log'!$B$5:$B$304=A22)*('Service log'!$A$5:$A$304=B22)),'Service log'!$I$5:$I$304)),""))</f>
        <v/>
      </c>
      <c r="G22" s="7">
        <f>IF(OR(A22="",B22=""),"",IFERROR(T(LOOKUP(2,1/(('Service log'!$B$5:$B$304=A22)*('Service log'!$A$5:$A$304=B22)),'Service log'!$K$5:$K$304)),""))</f>
        <v/>
      </c>
      <c r="H22" s="7">
        <f>IF(OR(A22="",B22=""),"",IFERROR(T(LOOKUP(2,1/(('Service log'!$B$5:$B$304=A22)*('Service log'!$A$5:$A$304=B22)),'Service log'!$M$5:$M$304)),""))</f>
        <v/>
      </c>
      <c r="I22" s="9">
        <f>IF(OR(A22="",B22=""),"",IFERROR(1/(1/(LOOKUP(2,1/(('Service log'!$B$5:$B$304=A22)*('Service log'!$A$5:$A$304=B22)),'Service log'!$O$5:$O$304))),""))</f>
        <v/>
      </c>
      <c r="J22" s="9">
        <f>IF(OR(A22="",B22=""),"",IFERROR(1/(1/(LOOKUP(2,1/(('Service log'!$B$5:$B$304=A22)*('Service log'!$A$5:$A$304=B22)),'Service log'!$P$5:$P$304))),""))</f>
        <v/>
      </c>
      <c r="K22" s="7">
        <f>IF(OR(A22="",B22=""),"",IFERROR(T(LOOKUP(2,1/(('Service log'!$B$5:$B$304=A22)*('Service log'!$A$5:$A$304=B22)),'Service log'!$Q$5:$Q$304)),""))</f>
        <v/>
      </c>
      <c r="L22" s="7">
        <f>IF(A22="","",IF(B22="","No record",IF(OR(C22="Not done",D22="Needs attention",E22="0.75%",E22="1% or more",F22="Needs attention",G22="Play found",H22="Needs attention"),"Yes","No")))</f>
        <v/>
      </c>
    </row>
    <row r="23" ht="20" customHeight="1">
      <c r="A23" s="8">
        <f>IF(Bikes!$A$22="","",Bikes!$A$22)</f>
        <v/>
      </c>
      <c r="B23" s="6">
        <f>IF(A23="","",IF(COUNTIFS('Service log'!$B$5:$B$304,A23,'Service log'!$A$5:$A$304,"&gt;0")=0,"",MAXIFS('Service log'!$A$5:$A$304,'Service log'!$B$5:$B$304,A23)))</f>
        <v/>
      </c>
      <c r="C23" s="7">
        <f>IF(OR(A23="",B23=""),"",IFERROR(T(LOOKUP(2,1/(('Service log'!$B$5:$B$304=A23)*('Service log'!$A$5:$A$304=B23)),'Service log'!$D$5:$D$304)),""))</f>
        <v/>
      </c>
      <c r="D23" s="7">
        <f>IF(OR(A23="",B23=""),"",IFERROR(T(LOOKUP(2,1/(('Service log'!$B$5:$B$304=A23)*('Service log'!$A$5:$A$304=B23)),'Service log'!$F$5:$F$304)),""))</f>
        <v/>
      </c>
      <c r="E23" s="7">
        <f>IF(OR(A23="",B23=""),"",IFERROR(T(LOOKUP(2,1/(('Service log'!$B$5:$B$304=A23)*('Service log'!$A$5:$A$304=B23)),'Service log'!$G$5:$G$304)),""))</f>
        <v/>
      </c>
      <c r="F23" s="7">
        <f>IF(OR(A23="",B23=""),"",IFERROR(T(LOOKUP(2,1/(('Service log'!$B$5:$B$304=A23)*('Service log'!$A$5:$A$304=B23)),'Service log'!$I$5:$I$304)),""))</f>
        <v/>
      </c>
      <c r="G23" s="7">
        <f>IF(OR(A23="",B23=""),"",IFERROR(T(LOOKUP(2,1/(('Service log'!$B$5:$B$304=A23)*('Service log'!$A$5:$A$304=B23)),'Service log'!$K$5:$K$304)),""))</f>
        <v/>
      </c>
      <c r="H23" s="7">
        <f>IF(OR(A23="",B23=""),"",IFERROR(T(LOOKUP(2,1/(('Service log'!$B$5:$B$304=A23)*('Service log'!$A$5:$A$304=B23)),'Service log'!$M$5:$M$304)),""))</f>
        <v/>
      </c>
      <c r="I23" s="9">
        <f>IF(OR(A23="",B23=""),"",IFERROR(1/(1/(LOOKUP(2,1/(('Service log'!$B$5:$B$304=A23)*('Service log'!$A$5:$A$304=B23)),'Service log'!$O$5:$O$304))),""))</f>
        <v/>
      </c>
      <c r="J23" s="9">
        <f>IF(OR(A23="",B23=""),"",IFERROR(1/(1/(LOOKUP(2,1/(('Service log'!$B$5:$B$304=A23)*('Service log'!$A$5:$A$304=B23)),'Service log'!$P$5:$P$304))),""))</f>
        <v/>
      </c>
      <c r="K23" s="7">
        <f>IF(OR(A23="",B23=""),"",IFERROR(T(LOOKUP(2,1/(('Service log'!$B$5:$B$304=A23)*('Service log'!$A$5:$A$304=B23)),'Service log'!$Q$5:$Q$304)),""))</f>
        <v/>
      </c>
      <c r="L23" s="7">
        <f>IF(A23="","",IF(B23="","No record",IF(OR(C23="Not done",D23="Needs attention",E23="0.75%",E23="1% or more",F23="Needs attention",G23="Play found",H23="Needs attention"),"Yes","No")))</f>
        <v/>
      </c>
    </row>
    <row r="24" ht="20" customHeight="1">
      <c r="A24" s="8">
        <f>IF(Bikes!$A$23="","",Bikes!$A$23)</f>
        <v/>
      </c>
      <c r="B24" s="6">
        <f>IF(A24="","",IF(COUNTIFS('Service log'!$B$5:$B$304,A24,'Service log'!$A$5:$A$304,"&gt;0")=0,"",MAXIFS('Service log'!$A$5:$A$304,'Service log'!$B$5:$B$304,A24)))</f>
        <v/>
      </c>
      <c r="C24" s="7">
        <f>IF(OR(A24="",B24=""),"",IFERROR(T(LOOKUP(2,1/(('Service log'!$B$5:$B$304=A24)*('Service log'!$A$5:$A$304=B24)),'Service log'!$D$5:$D$304)),""))</f>
        <v/>
      </c>
      <c r="D24" s="7">
        <f>IF(OR(A24="",B24=""),"",IFERROR(T(LOOKUP(2,1/(('Service log'!$B$5:$B$304=A24)*('Service log'!$A$5:$A$304=B24)),'Service log'!$F$5:$F$304)),""))</f>
        <v/>
      </c>
      <c r="E24" s="7">
        <f>IF(OR(A24="",B24=""),"",IFERROR(T(LOOKUP(2,1/(('Service log'!$B$5:$B$304=A24)*('Service log'!$A$5:$A$304=B24)),'Service log'!$G$5:$G$304)),""))</f>
        <v/>
      </c>
      <c r="F24" s="7">
        <f>IF(OR(A24="",B24=""),"",IFERROR(T(LOOKUP(2,1/(('Service log'!$B$5:$B$304=A24)*('Service log'!$A$5:$A$304=B24)),'Service log'!$I$5:$I$304)),""))</f>
        <v/>
      </c>
      <c r="G24" s="7">
        <f>IF(OR(A24="",B24=""),"",IFERROR(T(LOOKUP(2,1/(('Service log'!$B$5:$B$304=A24)*('Service log'!$A$5:$A$304=B24)),'Service log'!$K$5:$K$304)),""))</f>
        <v/>
      </c>
      <c r="H24" s="7">
        <f>IF(OR(A24="",B24=""),"",IFERROR(T(LOOKUP(2,1/(('Service log'!$B$5:$B$304=A24)*('Service log'!$A$5:$A$304=B24)),'Service log'!$M$5:$M$304)),""))</f>
        <v/>
      </c>
      <c r="I24" s="9">
        <f>IF(OR(A24="",B24=""),"",IFERROR(1/(1/(LOOKUP(2,1/(('Service log'!$B$5:$B$304=A24)*('Service log'!$A$5:$A$304=B24)),'Service log'!$O$5:$O$304))),""))</f>
        <v/>
      </c>
      <c r="J24" s="9">
        <f>IF(OR(A24="",B24=""),"",IFERROR(1/(1/(LOOKUP(2,1/(('Service log'!$B$5:$B$304=A24)*('Service log'!$A$5:$A$304=B24)),'Service log'!$P$5:$P$304))),""))</f>
        <v/>
      </c>
      <c r="K24" s="7">
        <f>IF(OR(A24="",B24=""),"",IFERROR(T(LOOKUP(2,1/(('Service log'!$B$5:$B$304=A24)*('Service log'!$A$5:$A$304=B24)),'Service log'!$Q$5:$Q$304)),""))</f>
        <v/>
      </c>
      <c r="L24" s="7">
        <f>IF(A24="","",IF(B24="","No record",IF(OR(C24="Not done",D24="Needs attention",E24="0.75%",E24="1% or more",F24="Needs attention",G24="Play found",H24="Needs attention"),"Yes","No")))</f>
        <v/>
      </c>
    </row>
    <row r="25" ht="20" customHeight="1">
      <c r="A25" s="8">
        <f>IF(Bikes!$A$24="","",Bikes!$A$24)</f>
        <v/>
      </c>
      <c r="B25" s="6">
        <f>IF(A25="","",IF(COUNTIFS('Service log'!$B$5:$B$304,A25,'Service log'!$A$5:$A$304,"&gt;0")=0,"",MAXIFS('Service log'!$A$5:$A$304,'Service log'!$B$5:$B$304,A25)))</f>
        <v/>
      </c>
      <c r="C25" s="7">
        <f>IF(OR(A25="",B25=""),"",IFERROR(T(LOOKUP(2,1/(('Service log'!$B$5:$B$304=A25)*('Service log'!$A$5:$A$304=B25)),'Service log'!$D$5:$D$304)),""))</f>
        <v/>
      </c>
      <c r="D25" s="7">
        <f>IF(OR(A25="",B25=""),"",IFERROR(T(LOOKUP(2,1/(('Service log'!$B$5:$B$304=A25)*('Service log'!$A$5:$A$304=B25)),'Service log'!$F$5:$F$304)),""))</f>
        <v/>
      </c>
      <c r="E25" s="7">
        <f>IF(OR(A25="",B25=""),"",IFERROR(T(LOOKUP(2,1/(('Service log'!$B$5:$B$304=A25)*('Service log'!$A$5:$A$304=B25)),'Service log'!$G$5:$G$304)),""))</f>
        <v/>
      </c>
      <c r="F25" s="7">
        <f>IF(OR(A25="",B25=""),"",IFERROR(T(LOOKUP(2,1/(('Service log'!$B$5:$B$304=A25)*('Service log'!$A$5:$A$304=B25)),'Service log'!$I$5:$I$304)),""))</f>
        <v/>
      </c>
      <c r="G25" s="7">
        <f>IF(OR(A25="",B25=""),"",IFERROR(T(LOOKUP(2,1/(('Service log'!$B$5:$B$304=A25)*('Service log'!$A$5:$A$304=B25)),'Service log'!$K$5:$K$304)),""))</f>
        <v/>
      </c>
      <c r="H25" s="7">
        <f>IF(OR(A25="",B25=""),"",IFERROR(T(LOOKUP(2,1/(('Service log'!$B$5:$B$304=A25)*('Service log'!$A$5:$A$304=B25)),'Service log'!$M$5:$M$304)),""))</f>
        <v/>
      </c>
      <c r="I25" s="9">
        <f>IF(OR(A25="",B25=""),"",IFERROR(1/(1/(LOOKUP(2,1/(('Service log'!$B$5:$B$304=A25)*('Service log'!$A$5:$A$304=B25)),'Service log'!$O$5:$O$304))),""))</f>
        <v/>
      </c>
      <c r="J25" s="9">
        <f>IF(OR(A25="",B25=""),"",IFERROR(1/(1/(LOOKUP(2,1/(('Service log'!$B$5:$B$304=A25)*('Service log'!$A$5:$A$304=B25)),'Service log'!$P$5:$P$304))),""))</f>
        <v/>
      </c>
      <c r="K25" s="7">
        <f>IF(OR(A25="",B25=""),"",IFERROR(T(LOOKUP(2,1/(('Service log'!$B$5:$B$304=A25)*('Service log'!$A$5:$A$304=B25)),'Service log'!$Q$5:$Q$304)),""))</f>
        <v/>
      </c>
      <c r="L25" s="7">
        <f>IF(A25="","",IF(B25="","No record",IF(OR(C25="Not done",D25="Needs attention",E25="0.75%",E25="1% or more",F25="Needs attention",G25="Play found",H25="Needs attention"),"Yes","No")))</f>
        <v/>
      </c>
    </row>
    <row r="26" ht="20" customHeight="1">
      <c r="A26" s="8">
        <f>IF(Bikes!$A$25="","",Bikes!$A$25)</f>
        <v/>
      </c>
      <c r="B26" s="6">
        <f>IF(A26="","",IF(COUNTIFS('Service log'!$B$5:$B$304,A26,'Service log'!$A$5:$A$304,"&gt;0")=0,"",MAXIFS('Service log'!$A$5:$A$304,'Service log'!$B$5:$B$304,A26)))</f>
        <v/>
      </c>
      <c r="C26" s="7">
        <f>IF(OR(A26="",B26=""),"",IFERROR(T(LOOKUP(2,1/(('Service log'!$B$5:$B$304=A26)*('Service log'!$A$5:$A$304=B26)),'Service log'!$D$5:$D$304)),""))</f>
        <v/>
      </c>
      <c r="D26" s="7">
        <f>IF(OR(A26="",B26=""),"",IFERROR(T(LOOKUP(2,1/(('Service log'!$B$5:$B$304=A26)*('Service log'!$A$5:$A$304=B26)),'Service log'!$F$5:$F$304)),""))</f>
        <v/>
      </c>
      <c r="E26" s="7">
        <f>IF(OR(A26="",B26=""),"",IFERROR(T(LOOKUP(2,1/(('Service log'!$B$5:$B$304=A26)*('Service log'!$A$5:$A$304=B26)),'Service log'!$G$5:$G$304)),""))</f>
        <v/>
      </c>
      <c r="F26" s="7">
        <f>IF(OR(A26="",B26=""),"",IFERROR(T(LOOKUP(2,1/(('Service log'!$B$5:$B$304=A26)*('Service log'!$A$5:$A$304=B26)),'Service log'!$I$5:$I$304)),""))</f>
        <v/>
      </c>
      <c r="G26" s="7">
        <f>IF(OR(A26="",B26=""),"",IFERROR(T(LOOKUP(2,1/(('Service log'!$B$5:$B$304=A26)*('Service log'!$A$5:$A$304=B26)),'Service log'!$K$5:$K$304)),""))</f>
        <v/>
      </c>
      <c r="H26" s="7">
        <f>IF(OR(A26="",B26=""),"",IFERROR(T(LOOKUP(2,1/(('Service log'!$B$5:$B$304=A26)*('Service log'!$A$5:$A$304=B26)),'Service log'!$M$5:$M$304)),""))</f>
        <v/>
      </c>
      <c r="I26" s="9">
        <f>IF(OR(A26="",B26=""),"",IFERROR(1/(1/(LOOKUP(2,1/(('Service log'!$B$5:$B$304=A26)*('Service log'!$A$5:$A$304=B26)),'Service log'!$O$5:$O$304))),""))</f>
        <v/>
      </c>
      <c r="J26" s="9">
        <f>IF(OR(A26="",B26=""),"",IFERROR(1/(1/(LOOKUP(2,1/(('Service log'!$B$5:$B$304=A26)*('Service log'!$A$5:$A$304=B26)),'Service log'!$P$5:$P$304))),""))</f>
        <v/>
      </c>
      <c r="K26" s="7">
        <f>IF(OR(A26="",B26=""),"",IFERROR(T(LOOKUP(2,1/(('Service log'!$B$5:$B$304=A26)*('Service log'!$A$5:$A$304=B26)),'Service log'!$Q$5:$Q$304)),""))</f>
        <v/>
      </c>
      <c r="L26" s="7">
        <f>IF(A26="","",IF(B26="","No record",IF(OR(C26="Not done",D26="Needs attention",E26="0.75%",E26="1% or more",F26="Needs attention",G26="Play found",H26="Needs attention"),"Yes","No")))</f>
        <v/>
      </c>
    </row>
    <row r="27" ht="20" customHeight="1">
      <c r="A27" s="8">
        <f>IF(Bikes!$A$26="","",Bikes!$A$26)</f>
        <v/>
      </c>
      <c r="B27" s="6">
        <f>IF(A27="","",IF(COUNTIFS('Service log'!$B$5:$B$304,A27,'Service log'!$A$5:$A$304,"&gt;0")=0,"",MAXIFS('Service log'!$A$5:$A$304,'Service log'!$B$5:$B$304,A27)))</f>
        <v/>
      </c>
      <c r="C27" s="7">
        <f>IF(OR(A27="",B27=""),"",IFERROR(T(LOOKUP(2,1/(('Service log'!$B$5:$B$304=A27)*('Service log'!$A$5:$A$304=B27)),'Service log'!$D$5:$D$304)),""))</f>
        <v/>
      </c>
      <c r="D27" s="7">
        <f>IF(OR(A27="",B27=""),"",IFERROR(T(LOOKUP(2,1/(('Service log'!$B$5:$B$304=A27)*('Service log'!$A$5:$A$304=B27)),'Service log'!$F$5:$F$304)),""))</f>
        <v/>
      </c>
      <c r="E27" s="7">
        <f>IF(OR(A27="",B27=""),"",IFERROR(T(LOOKUP(2,1/(('Service log'!$B$5:$B$304=A27)*('Service log'!$A$5:$A$304=B27)),'Service log'!$G$5:$G$304)),""))</f>
        <v/>
      </c>
      <c r="F27" s="7">
        <f>IF(OR(A27="",B27=""),"",IFERROR(T(LOOKUP(2,1/(('Service log'!$B$5:$B$304=A27)*('Service log'!$A$5:$A$304=B27)),'Service log'!$I$5:$I$304)),""))</f>
        <v/>
      </c>
      <c r="G27" s="7">
        <f>IF(OR(A27="",B27=""),"",IFERROR(T(LOOKUP(2,1/(('Service log'!$B$5:$B$304=A27)*('Service log'!$A$5:$A$304=B27)),'Service log'!$K$5:$K$304)),""))</f>
        <v/>
      </c>
      <c r="H27" s="7">
        <f>IF(OR(A27="",B27=""),"",IFERROR(T(LOOKUP(2,1/(('Service log'!$B$5:$B$304=A27)*('Service log'!$A$5:$A$304=B27)),'Service log'!$M$5:$M$304)),""))</f>
        <v/>
      </c>
      <c r="I27" s="9">
        <f>IF(OR(A27="",B27=""),"",IFERROR(1/(1/(LOOKUP(2,1/(('Service log'!$B$5:$B$304=A27)*('Service log'!$A$5:$A$304=B27)),'Service log'!$O$5:$O$304))),""))</f>
        <v/>
      </c>
      <c r="J27" s="9">
        <f>IF(OR(A27="",B27=""),"",IFERROR(1/(1/(LOOKUP(2,1/(('Service log'!$B$5:$B$304=A27)*('Service log'!$A$5:$A$304=B27)),'Service log'!$P$5:$P$304))),""))</f>
        <v/>
      </c>
      <c r="K27" s="7">
        <f>IF(OR(A27="",B27=""),"",IFERROR(T(LOOKUP(2,1/(('Service log'!$B$5:$B$304=A27)*('Service log'!$A$5:$A$304=B27)),'Service log'!$Q$5:$Q$304)),""))</f>
        <v/>
      </c>
      <c r="L27" s="7">
        <f>IF(A27="","",IF(B27="","No record",IF(OR(C27="Not done",D27="Needs attention",E27="0.75%",E27="1% or more",F27="Needs attention",G27="Play found",H27="Needs attention"),"Yes","No")))</f>
        <v/>
      </c>
    </row>
    <row r="28" ht="20" customHeight="1">
      <c r="A28" s="8">
        <f>IF(Bikes!$A$27="","",Bikes!$A$27)</f>
        <v/>
      </c>
      <c r="B28" s="6">
        <f>IF(A28="","",IF(COUNTIFS('Service log'!$B$5:$B$304,A28,'Service log'!$A$5:$A$304,"&gt;0")=0,"",MAXIFS('Service log'!$A$5:$A$304,'Service log'!$B$5:$B$304,A28)))</f>
        <v/>
      </c>
      <c r="C28" s="7">
        <f>IF(OR(A28="",B28=""),"",IFERROR(T(LOOKUP(2,1/(('Service log'!$B$5:$B$304=A28)*('Service log'!$A$5:$A$304=B28)),'Service log'!$D$5:$D$304)),""))</f>
        <v/>
      </c>
      <c r="D28" s="7">
        <f>IF(OR(A28="",B28=""),"",IFERROR(T(LOOKUP(2,1/(('Service log'!$B$5:$B$304=A28)*('Service log'!$A$5:$A$304=B28)),'Service log'!$F$5:$F$304)),""))</f>
        <v/>
      </c>
      <c r="E28" s="7">
        <f>IF(OR(A28="",B28=""),"",IFERROR(T(LOOKUP(2,1/(('Service log'!$B$5:$B$304=A28)*('Service log'!$A$5:$A$304=B28)),'Service log'!$G$5:$G$304)),""))</f>
        <v/>
      </c>
      <c r="F28" s="7">
        <f>IF(OR(A28="",B28=""),"",IFERROR(T(LOOKUP(2,1/(('Service log'!$B$5:$B$304=A28)*('Service log'!$A$5:$A$304=B28)),'Service log'!$I$5:$I$304)),""))</f>
        <v/>
      </c>
      <c r="G28" s="7">
        <f>IF(OR(A28="",B28=""),"",IFERROR(T(LOOKUP(2,1/(('Service log'!$B$5:$B$304=A28)*('Service log'!$A$5:$A$304=B28)),'Service log'!$K$5:$K$304)),""))</f>
        <v/>
      </c>
      <c r="H28" s="7">
        <f>IF(OR(A28="",B28=""),"",IFERROR(T(LOOKUP(2,1/(('Service log'!$B$5:$B$304=A28)*('Service log'!$A$5:$A$304=B28)),'Service log'!$M$5:$M$304)),""))</f>
        <v/>
      </c>
      <c r="I28" s="9">
        <f>IF(OR(A28="",B28=""),"",IFERROR(1/(1/(LOOKUP(2,1/(('Service log'!$B$5:$B$304=A28)*('Service log'!$A$5:$A$304=B28)),'Service log'!$O$5:$O$304))),""))</f>
        <v/>
      </c>
      <c r="J28" s="9">
        <f>IF(OR(A28="",B28=""),"",IFERROR(1/(1/(LOOKUP(2,1/(('Service log'!$B$5:$B$304=A28)*('Service log'!$A$5:$A$304=B28)),'Service log'!$P$5:$P$304))),""))</f>
        <v/>
      </c>
      <c r="K28" s="7">
        <f>IF(OR(A28="",B28=""),"",IFERROR(T(LOOKUP(2,1/(('Service log'!$B$5:$B$304=A28)*('Service log'!$A$5:$A$304=B28)),'Service log'!$Q$5:$Q$304)),""))</f>
        <v/>
      </c>
      <c r="L28" s="7">
        <f>IF(A28="","",IF(B28="","No record",IF(OR(C28="Not done",D28="Needs attention",E28="0.75%",E28="1% or more",F28="Needs attention",G28="Play found",H28="Needs attention"),"Yes","No")))</f>
        <v/>
      </c>
    </row>
    <row r="29" ht="20" customHeight="1">
      <c r="A29" s="8">
        <f>IF(Bikes!$A$28="","",Bikes!$A$28)</f>
        <v/>
      </c>
      <c r="B29" s="6">
        <f>IF(A29="","",IF(COUNTIFS('Service log'!$B$5:$B$304,A29,'Service log'!$A$5:$A$304,"&gt;0")=0,"",MAXIFS('Service log'!$A$5:$A$304,'Service log'!$B$5:$B$304,A29)))</f>
        <v/>
      </c>
      <c r="C29" s="7">
        <f>IF(OR(A29="",B29=""),"",IFERROR(T(LOOKUP(2,1/(('Service log'!$B$5:$B$304=A29)*('Service log'!$A$5:$A$304=B29)),'Service log'!$D$5:$D$304)),""))</f>
        <v/>
      </c>
      <c r="D29" s="7">
        <f>IF(OR(A29="",B29=""),"",IFERROR(T(LOOKUP(2,1/(('Service log'!$B$5:$B$304=A29)*('Service log'!$A$5:$A$304=B29)),'Service log'!$F$5:$F$304)),""))</f>
        <v/>
      </c>
      <c r="E29" s="7">
        <f>IF(OR(A29="",B29=""),"",IFERROR(T(LOOKUP(2,1/(('Service log'!$B$5:$B$304=A29)*('Service log'!$A$5:$A$304=B29)),'Service log'!$G$5:$G$304)),""))</f>
        <v/>
      </c>
      <c r="F29" s="7">
        <f>IF(OR(A29="",B29=""),"",IFERROR(T(LOOKUP(2,1/(('Service log'!$B$5:$B$304=A29)*('Service log'!$A$5:$A$304=B29)),'Service log'!$I$5:$I$304)),""))</f>
        <v/>
      </c>
      <c r="G29" s="7">
        <f>IF(OR(A29="",B29=""),"",IFERROR(T(LOOKUP(2,1/(('Service log'!$B$5:$B$304=A29)*('Service log'!$A$5:$A$304=B29)),'Service log'!$K$5:$K$304)),""))</f>
        <v/>
      </c>
      <c r="H29" s="7">
        <f>IF(OR(A29="",B29=""),"",IFERROR(T(LOOKUP(2,1/(('Service log'!$B$5:$B$304=A29)*('Service log'!$A$5:$A$304=B29)),'Service log'!$M$5:$M$304)),""))</f>
        <v/>
      </c>
      <c r="I29" s="9">
        <f>IF(OR(A29="",B29=""),"",IFERROR(1/(1/(LOOKUP(2,1/(('Service log'!$B$5:$B$304=A29)*('Service log'!$A$5:$A$304=B29)),'Service log'!$O$5:$O$304))),""))</f>
        <v/>
      </c>
      <c r="J29" s="9">
        <f>IF(OR(A29="",B29=""),"",IFERROR(1/(1/(LOOKUP(2,1/(('Service log'!$B$5:$B$304=A29)*('Service log'!$A$5:$A$304=B29)),'Service log'!$P$5:$P$304))),""))</f>
        <v/>
      </c>
      <c r="K29" s="7">
        <f>IF(OR(A29="",B29=""),"",IFERROR(T(LOOKUP(2,1/(('Service log'!$B$5:$B$304=A29)*('Service log'!$A$5:$A$304=B29)),'Service log'!$Q$5:$Q$304)),""))</f>
        <v/>
      </c>
      <c r="L29" s="7">
        <f>IF(A29="","",IF(B29="","No record",IF(OR(C29="Not done",D29="Needs attention",E29="0.75%",E29="1% or more",F29="Needs attention",G29="Play found",H29="Needs attention"),"Yes","No")))</f>
        <v/>
      </c>
    </row>
    <row r="30" ht="20" customHeight="1">
      <c r="A30" s="8">
        <f>IF(Bikes!$A$29="","",Bikes!$A$29)</f>
        <v/>
      </c>
      <c r="B30" s="6">
        <f>IF(A30="","",IF(COUNTIFS('Service log'!$B$5:$B$304,A30,'Service log'!$A$5:$A$304,"&gt;0")=0,"",MAXIFS('Service log'!$A$5:$A$304,'Service log'!$B$5:$B$304,A30)))</f>
        <v/>
      </c>
      <c r="C30" s="7">
        <f>IF(OR(A30="",B30=""),"",IFERROR(T(LOOKUP(2,1/(('Service log'!$B$5:$B$304=A30)*('Service log'!$A$5:$A$304=B30)),'Service log'!$D$5:$D$304)),""))</f>
        <v/>
      </c>
      <c r="D30" s="7">
        <f>IF(OR(A30="",B30=""),"",IFERROR(T(LOOKUP(2,1/(('Service log'!$B$5:$B$304=A30)*('Service log'!$A$5:$A$304=B30)),'Service log'!$F$5:$F$304)),""))</f>
        <v/>
      </c>
      <c r="E30" s="7">
        <f>IF(OR(A30="",B30=""),"",IFERROR(T(LOOKUP(2,1/(('Service log'!$B$5:$B$304=A30)*('Service log'!$A$5:$A$304=B30)),'Service log'!$G$5:$G$304)),""))</f>
        <v/>
      </c>
      <c r="F30" s="7">
        <f>IF(OR(A30="",B30=""),"",IFERROR(T(LOOKUP(2,1/(('Service log'!$B$5:$B$304=A30)*('Service log'!$A$5:$A$304=B30)),'Service log'!$I$5:$I$304)),""))</f>
        <v/>
      </c>
      <c r="G30" s="7">
        <f>IF(OR(A30="",B30=""),"",IFERROR(T(LOOKUP(2,1/(('Service log'!$B$5:$B$304=A30)*('Service log'!$A$5:$A$304=B30)),'Service log'!$K$5:$K$304)),""))</f>
        <v/>
      </c>
      <c r="H30" s="7">
        <f>IF(OR(A30="",B30=""),"",IFERROR(T(LOOKUP(2,1/(('Service log'!$B$5:$B$304=A30)*('Service log'!$A$5:$A$304=B30)),'Service log'!$M$5:$M$304)),""))</f>
        <v/>
      </c>
      <c r="I30" s="9">
        <f>IF(OR(A30="",B30=""),"",IFERROR(1/(1/(LOOKUP(2,1/(('Service log'!$B$5:$B$304=A30)*('Service log'!$A$5:$A$304=B30)),'Service log'!$O$5:$O$304))),""))</f>
        <v/>
      </c>
      <c r="J30" s="9">
        <f>IF(OR(A30="",B30=""),"",IFERROR(1/(1/(LOOKUP(2,1/(('Service log'!$B$5:$B$304=A30)*('Service log'!$A$5:$A$304=B30)),'Service log'!$P$5:$P$304))),""))</f>
        <v/>
      </c>
      <c r="K30" s="7">
        <f>IF(OR(A30="",B30=""),"",IFERROR(T(LOOKUP(2,1/(('Service log'!$B$5:$B$304=A30)*('Service log'!$A$5:$A$304=B30)),'Service log'!$Q$5:$Q$304)),""))</f>
        <v/>
      </c>
      <c r="L30" s="7">
        <f>IF(A30="","",IF(B30="","No record",IF(OR(C30="Not done",D30="Needs attention",E30="0.75%",E30="1% or more",F30="Needs attention",G30="Play found",H30="Needs attention"),"Yes","No")))</f>
        <v/>
      </c>
    </row>
    <row r="31" ht="20" customHeight="1">
      <c r="A31" s="8">
        <f>IF(Bikes!$A$30="","",Bikes!$A$30)</f>
        <v/>
      </c>
      <c r="B31" s="6">
        <f>IF(A31="","",IF(COUNTIFS('Service log'!$B$5:$B$304,A31,'Service log'!$A$5:$A$304,"&gt;0")=0,"",MAXIFS('Service log'!$A$5:$A$304,'Service log'!$B$5:$B$304,A31)))</f>
        <v/>
      </c>
      <c r="C31" s="7">
        <f>IF(OR(A31="",B31=""),"",IFERROR(T(LOOKUP(2,1/(('Service log'!$B$5:$B$304=A31)*('Service log'!$A$5:$A$304=B31)),'Service log'!$D$5:$D$304)),""))</f>
        <v/>
      </c>
      <c r="D31" s="7">
        <f>IF(OR(A31="",B31=""),"",IFERROR(T(LOOKUP(2,1/(('Service log'!$B$5:$B$304=A31)*('Service log'!$A$5:$A$304=B31)),'Service log'!$F$5:$F$304)),""))</f>
        <v/>
      </c>
      <c r="E31" s="7">
        <f>IF(OR(A31="",B31=""),"",IFERROR(T(LOOKUP(2,1/(('Service log'!$B$5:$B$304=A31)*('Service log'!$A$5:$A$304=B31)),'Service log'!$G$5:$G$304)),""))</f>
        <v/>
      </c>
      <c r="F31" s="7">
        <f>IF(OR(A31="",B31=""),"",IFERROR(T(LOOKUP(2,1/(('Service log'!$B$5:$B$304=A31)*('Service log'!$A$5:$A$304=B31)),'Service log'!$I$5:$I$304)),""))</f>
        <v/>
      </c>
      <c r="G31" s="7">
        <f>IF(OR(A31="",B31=""),"",IFERROR(T(LOOKUP(2,1/(('Service log'!$B$5:$B$304=A31)*('Service log'!$A$5:$A$304=B31)),'Service log'!$K$5:$K$304)),""))</f>
        <v/>
      </c>
      <c r="H31" s="7">
        <f>IF(OR(A31="",B31=""),"",IFERROR(T(LOOKUP(2,1/(('Service log'!$B$5:$B$304=A31)*('Service log'!$A$5:$A$304=B31)),'Service log'!$M$5:$M$304)),""))</f>
        <v/>
      </c>
      <c r="I31" s="9">
        <f>IF(OR(A31="",B31=""),"",IFERROR(1/(1/(LOOKUP(2,1/(('Service log'!$B$5:$B$304=A31)*('Service log'!$A$5:$A$304=B31)),'Service log'!$O$5:$O$304))),""))</f>
        <v/>
      </c>
      <c r="J31" s="9">
        <f>IF(OR(A31="",B31=""),"",IFERROR(1/(1/(LOOKUP(2,1/(('Service log'!$B$5:$B$304=A31)*('Service log'!$A$5:$A$304=B31)),'Service log'!$P$5:$P$304))),""))</f>
        <v/>
      </c>
      <c r="K31" s="7">
        <f>IF(OR(A31="",B31=""),"",IFERROR(T(LOOKUP(2,1/(('Service log'!$B$5:$B$304=A31)*('Service log'!$A$5:$A$304=B31)),'Service log'!$Q$5:$Q$304)),""))</f>
        <v/>
      </c>
      <c r="L31" s="7">
        <f>IF(A31="","",IF(B31="","No record",IF(OR(C31="Not done",D31="Needs attention",E31="0.75%",E31="1% or more",F31="Needs attention",G31="Play found",H31="Needs attention"),"Yes","No")))</f>
        <v/>
      </c>
    </row>
    <row r="32" ht="20" customHeight="1">
      <c r="A32" s="8">
        <f>IF(Bikes!$A$31="","",Bikes!$A$31)</f>
        <v/>
      </c>
      <c r="B32" s="6">
        <f>IF(A32="","",IF(COUNTIFS('Service log'!$B$5:$B$304,A32,'Service log'!$A$5:$A$304,"&gt;0")=0,"",MAXIFS('Service log'!$A$5:$A$304,'Service log'!$B$5:$B$304,A32)))</f>
        <v/>
      </c>
      <c r="C32" s="7">
        <f>IF(OR(A32="",B32=""),"",IFERROR(T(LOOKUP(2,1/(('Service log'!$B$5:$B$304=A32)*('Service log'!$A$5:$A$304=B32)),'Service log'!$D$5:$D$304)),""))</f>
        <v/>
      </c>
      <c r="D32" s="7">
        <f>IF(OR(A32="",B32=""),"",IFERROR(T(LOOKUP(2,1/(('Service log'!$B$5:$B$304=A32)*('Service log'!$A$5:$A$304=B32)),'Service log'!$F$5:$F$304)),""))</f>
        <v/>
      </c>
      <c r="E32" s="7">
        <f>IF(OR(A32="",B32=""),"",IFERROR(T(LOOKUP(2,1/(('Service log'!$B$5:$B$304=A32)*('Service log'!$A$5:$A$304=B32)),'Service log'!$G$5:$G$304)),""))</f>
        <v/>
      </c>
      <c r="F32" s="7">
        <f>IF(OR(A32="",B32=""),"",IFERROR(T(LOOKUP(2,1/(('Service log'!$B$5:$B$304=A32)*('Service log'!$A$5:$A$304=B32)),'Service log'!$I$5:$I$304)),""))</f>
        <v/>
      </c>
      <c r="G32" s="7">
        <f>IF(OR(A32="",B32=""),"",IFERROR(T(LOOKUP(2,1/(('Service log'!$B$5:$B$304=A32)*('Service log'!$A$5:$A$304=B32)),'Service log'!$K$5:$K$304)),""))</f>
        <v/>
      </c>
      <c r="H32" s="7">
        <f>IF(OR(A32="",B32=""),"",IFERROR(T(LOOKUP(2,1/(('Service log'!$B$5:$B$304=A32)*('Service log'!$A$5:$A$304=B32)),'Service log'!$M$5:$M$304)),""))</f>
        <v/>
      </c>
      <c r="I32" s="9">
        <f>IF(OR(A32="",B32=""),"",IFERROR(1/(1/(LOOKUP(2,1/(('Service log'!$B$5:$B$304=A32)*('Service log'!$A$5:$A$304=B32)),'Service log'!$O$5:$O$304))),""))</f>
        <v/>
      </c>
      <c r="J32" s="9">
        <f>IF(OR(A32="",B32=""),"",IFERROR(1/(1/(LOOKUP(2,1/(('Service log'!$B$5:$B$304=A32)*('Service log'!$A$5:$A$304=B32)),'Service log'!$P$5:$P$304))),""))</f>
        <v/>
      </c>
      <c r="K32" s="7">
        <f>IF(OR(A32="",B32=""),"",IFERROR(T(LOOKUP(2,1/(('Service log'!$B$5:$B$304=A32)*('Service log'!$A$5:$A$304=B32)),'Service log'!$Q$5:$Q$304)),""))</f>
        <v/>
      </c>
      <c r="L32" s="7">
        <f>IF(A32="","",IF(B32="","No record",IF(OR(C32="Not done",D32="Needs attention",E32="0.75%",E32="1% or more",F32="Needs attention",G32="Play found",H32="Needs attention"),"Yes","No")))</f>
        <v/>
      </c>
    </row>
    <row r="33" ht="20" customHeight="1">
      <c r="A33" s="8">
        <f>IF(Bikes!$A$32="","",Bikes!$A$32)</f>
        <v/>
      </c>
      <c r="B33" s="6">
        <f>IF(A33="","",IF(COUNTIFS('Service log'!$B$5:$B$304,A33,'Service log'!$A$5:$A$304,"&gt;0")=0,"",MAXIFS('Service log'!$A$5:$A$304,'Service log'!$B$5:$B$304,A33)))</f>
        <v/>
      </c>
      <c r="C33" s="7">
        <f>IF(OR(A33="",B33=""),"",IFERROR(T(LOOKUP(2,1/(('Service log'!$B$5:$B$304=A33)*('Service log'!$A$5:$A$304=B33)),'Service log'!$D$5:$D$304)),""))</f>
        <v/>
      </c>
      <c r="D33" s="7">
        <f>IF(OR(A33="",B33=""),"",IFERROR(T(LOOKUP(2,1/(('Service log'!$B$5:$B$304=A33)*('Service log'!$A$5:$A$304=B33)),'Service log'!$F$5:$F$304)),""))</f>
        <v/>
      </c>
      <c r="E33" s="7">
        <f>IF(OR(A33="",B33=""),"",IFERROR(T(LOOKUP(2,1/(('Service log'!$B$5:$B$304=A33)*('Service log'!$A$5:$A$304=B33)),'Service log'!$G$5:$G$304)),""))</f>
        <v/>
      </c>
      <c r="F33" s="7">
        <f>IF(OR(A33="",B33=""),"",IFERROR(T(LOOKUP(2,1/(('Service log'!$B$5:$B$304=A33)*('Service log'!$A$5:$A$304=B33)),'Service log'!$I$5:$I$304)),""))</f>
        <v/>
      </c>
      <c r="G33" s="7">
        <f>IF(OR(A33="",B33=""),"",IFERROR(T(LOOKUP(2,1/(('Service log'!$B$5:$B$304=A33)*('Service log'!$A$5:$A$304=B33)),'Service log'!$K$5:$K$304)),""))</f>
        <v/>
      </c>
      <c r="H33" s="7">
        <f>IF(OR(A33="",B33=""),"",IFERROR(T(LOOKUP(2,1/(('Service log'!$B$5:$B$304=A33)*('Service log'!$A$5:$A$304=B33)),'Service log'!$M$5:$M$304)),""))</f>
        <v/>
      </c>
      <c r="I33" s="9">
        <f>IF(OR(A33="",B33=""),"",IFERROR(1/(1/(LOOKUP(2,1/(('Service log'!$B$5:$B$304=A33)*('Service log'!$A$5:$A$304=B33)),'Service log'!$O$5:$O$304))),""))</f>
        <v/>
      </c>
      <c r="J33" s="9">
        <f>IF(OR(A33="",B33=""),"",IFERROR(1/(1/(LOOKUP(2,1/(('Service log'!$B$5:$B$304=A33)*('Service log'!$A$5:$A$304=B33)),'Service log'!$P$5:$P$304))),""))</f>
        <v/>
      </c>
      <c r="K33" s="7">
        <f>IF(OR(A33="",B33=""),"",IFERROR(T(LOOKUP(2,1/(('Service log'!$B$5:$B$304=A33)*('Service log'!$A$5:$A$304=B33)),'Service log'!$Q$5:$Q$304)),""))</f>
        <v/>
      </c>
      <c r="L33" s="7">
        <f>IF(A33="","",IF(B33="","No record",IF(OR(C33="Not done",D33="Needs attention",E33="0.75%",E33="1% or more",F33="Needs attention",G33="Play found",H33="Needs attention"),"Yes","No")))</f>
        <v/>
      </c>
    </row>
    <row r="34" ht="20" customHeight="1">
      <c r="A34" s="8">
        <f>IF(Bikes!$A$33="","",Bikes!$A$33)</f>
        <v/>
      </c>
      <c r="B34" s="6">
        <f>IF(A34="","",IF(COUNTIFS('Service log'!$B$5:$B$304,A34,'Service log'!$A$5:$A$304,"&gt;0")=0,"",MAXIFS('Service log'!$A$5:$A$304,'Service log'!$B$5:$B$304,A34)))</f>
        <v/>
      </c>
      <c r="C34" s="7">
        <f>IF(OR(A34="",B34=""),"",IFERROR(T(LOOKUP(2,1/(('Service log'!$B$5:$B$304=A34)*('Service log'!$A$5:$A$304=B34)),'Service log'!$D$5:$D$304)),""))</f>
        <v/>
      </c>
      <c r="D34" s="7">
        <f>IF(OR(A34="",B34=""),"",IFERROR(T(LOOKUP(2,1/(('Service log'!$B$5:$B$304=A34)*('Service log'!$A$5:$A$304=B34)),'Service log'!$F$5:$F$304)),""))</f>
        <v/>
      </c>
      <c r="E34" s="7">
        <f>IF(OR(A34="",B34=""),"",IFERROR(T(LOOKUP(2,1/(('Service log'!$B$5:$B$304=A34)*('Service log'!$A$5:$A$304=B34)),'Service log'!$G$5:$G$304)),""))</f>
        <v/>
      </c>
      <c r="F34" s="7">
        <f>IF(OR(A34="",B34=""),"",IFERROR(T(LOOKUP(2,1/(('Service log'!$B$5:$B$304=A34)*('Service log'!$A$5:$A$304=B34)),'Service log'!$I$5:$I$304)),""))</f>
        <v/>
      </c>
      <c r="G34" s="7">
        <f>IF(OR(A34="",B34=""),"",IFERROR(T(LOOKUP(2,1/(('Service log'!$B$5:$B$304=A34)*('Service log'!$A$5:$A$304=B34)),'Service log'!$K$5:$K$304)),""))</f>
        <v/>
      </c>
      <c r="H34" s="7">
        <f>IF(OR(A34="",B34=""),"",IFERROR(T(LOOKUP(2,1/(('Service log'!$B$5:$B$304=A34)*('Service log'!$A$5:$A$304=B34)),'Service log'!$M$5:$M$304)),""))</f>
        <v/>
      </c>
      <c r="I34" s="9">
        <f>IF(OR(A34="",B34=""),"",IFERROR(1/(1/(LOOKUP(2,1/(('Service log'!$B$5:$B$304=A34)*('Service log'!$A$5:$A$304=B34)),'Service log'!$O$5:$O$304))),""))</f>
        <v/>
      </c>
      <c r="J34" s="9">
        <f>IF(OR(A34="",B34=""),"",IFERROR(1/(1/(LOOKUP(2,1/(('Service log'!$B$5:$B$304=A34)*('Service log'!$A$5:$A$304=B34)),'Service log'!$P$5:$P$304))),""))</f>
        <v/>
      </c>
      <c r="K34" s="7">
        <f>IF(OR(A34="",B34=""),"",IFERROR(T(LOOKUP(2,1/(('Service log'!$B$5:$B$304=A34)*('Service log'!$A$5:$A$304=B34)),'Service log'!$Q$5:$Q$304)),""))</f>
        <v/>
      </c>
      <c r="L34" s="7">
        <f>IF(A34="","",IF(B34="","No record",IF(OR(C34="Not done",D34="Needs attention",E34="0.75%",E34="1% or more",F34="Needs attention",G34="Play found",H34="Needs attention"),"Yes","No")))</f>
        <v/>
      </c>
    </row>
    <row r="35" ht="20" customHeight="1">
      <c r="A35" s="8">
        <f>IF(Bikes!$A$34="","",Bikes!$A$34)</f>
        <v/>
      </c>
      <c r="B35" s="6">
        <f>IF(A35="","",IF(COUNTIFS('Service log'!$B$5:$B$304,A35,'Service log'!$A$5:$A$304,"&gt;0")=0,"",MAXIFS('Service log'!$A$5:$A$304,'Service log'!$B$5:$B$304,A35)))</f>
        <v/>
      </c>
      <c r="C35" s="7">
        <f>IF(OR(A35="",B35=""),"",IFERROR(T(LOOKUP(2,1/(('Service log'!$B$5:$B$304=A35)*('Service log'!$A$5:$A$304=B35)),'Service log'!$D$5:$D$304)),""))</f>
        <v/>
      </c>
      <c r="D35" s="7">
        <f>IF(OR(A35="",B35=""),"",IFERROR(T(LOOKUP(2,1/(('Service log'!$B$5:$B$304=A35)*('Service log'!$A$5:$A$304=B35)),'Service log'!$F$5:$F$304)),""))</f>
        <v/>
      </c>
      <c r="E35" s="7">
        <f>IF(OR(A35="",B35=""),"",IFERROR(T(LOOKUP(2,1/(('Service log'!$B$5:$B$304=A35)*('Service log'!$A$5:$A$304=B35)),'Service log'!$G$5:$G$304)),""))</f>
        <v/>
      </c>
      <c r="F35" s="7">
        <f>IF(OR(A35="",B35=""),"",IFERROR(T(LOOKUP(2,1/(('Service log'!$B$5:$B$304=A35)*('Service log'!$A$5:$A$304=B35)),'Service log'!$I$5:$I$304)),""))</f>
        <v/>
      </c>
      <c r="G35" s="7">
        <f>IF(OR(A35="",B35=""),"",IFERROR(T(LOOKUP(2,1/(('Service log'!$B$5:$B$304=A35)*('Service log'!$A$5:$A$304=B35)),'Service log'!$K$5:$K$304)),""))</f>
        <v/>
      </c>
      <c r="H35" s="7">
        <f>IF(OR(A35="",B35=""),"",IFERROR(T(LOOKUP(2,1/(('Service log'!$B$5:$B$304=A35)*('Service log'!$A$5:$A$304=B35)),'Service log'!$M$5:$M$304)),""))</f>
        <v/>
      </c>
      <c r="I35" s="9">
        <f>IF(OR(A35="",B35=""),"",IFERROR(1/(1/(LOOKUP(2,1/(('Service log'!$B$5:$B$304=A35)*('Service log'!$A$5:$A$304=B35)),'Service log'!$O$5:$O$304))),""))</f>
        <v/>
      </c>
      <c r="J35" s="9">
        <f>IF(OR(A35="",B35=""),"",IFERROR(1/(1/(LOOKUP(2,1/(('Service log'!$B$5:$B$304=A35)*('Service log'!$A$5:$A$304=B35)),'Service log'!$P$5:$P$304))),""))</f>
        <v/>
      </c>
      <c r="K35" s="7">
        <f>IF(OR(A35="",B35=""),"",IFERROR(T(LOOKUP(2,1/(('Service log'!$B$5:$B$304=A35)*('Service log'!$A$5:$A$304=B35)),'Service log'!$Q$5:$Q$304)),""))</f>
        <v/>
      </c>
      <c r="L35" s="7">
        <f>IF(A35="","",IF(B35="","No record",IF(OR(C35="Not done",D35="Needs attention",E35="0.75%",E35="1% or more",F35="Needs attention",G35="Play found",H35="Needs attention"),"Yes","No")))</f>
        <v/>
      </c>
    </row>
  </sheetData>
  <autoFilter ref="A5:L35"/>
  <mergeCells count="2">
    <mergeCell ref="A2:L2"/>
    <mergeCell ref="A1:L1"/>
  </mergeCells>
  <conditionalFormatting sqref="C6:C35">
    <cfRule type="cellIs" priority="1" operator="equal" dxfId="0">
      <formula>"Done"</formula>
    </cfRule>
    <cfRule type="cellIs" priority="2" operator="equal" dxfId="1">
      <formula>"Not done"</formula>
    </cfRule>
  </conditionalFormatting>
  <conditionalFormatting sqref="D6:D35">
    <cfRule type="cellIs" priority="3" operator="equal" dxfId="0">
      <formula>"OK"</formula>
    </cfRule>
    <cfRule type="cellIs" priority="4" operator="equal" dxfId="1">
      <formula>"Needs attention"</formula>
    </cfRule>
    <cfRule type="cellIs" priority="5" operator="equal" dxfId="2">
      <formula>"Not checked"</formula>
    </cfRule>
  </conditionalFormatting>
  <conditionalFormatting sqref="E6:E35">
    <cfRule type="cellIs" priority="6" operator="equal" dxfId="0">
      <formula>"Under 0.5%"</formula>
    </cfRule>
    <cfRule type="cellIs" priority="7" operator="equal" dxfId="0">
      <formula>"0.5%"</formula>
    </cfRule>
    <cfRule type="cellIs" priority="8" operator="equal" dxfId="1">
      <formula>"0.75%"</formula>
    </cfRule>
    <cfRule type="cellIs" priority="9" operator="equal" dxfId="1">
      <formula>"1% or more"</formula>
    </cfRule>
    <cfRule type="cellIs" priority="10" operator="equal" dxfId="2">
      <formula>"Not checked"</formula>
    </cfRule>
  </conditionalFormatting>
  <conditionalFormatting sqref="F6:F35">
    <cfRule type="cellIs" priority="11" operator="equal" dxfId="0">
      <formula>"OK"</formula>
    </cfRule>
    <cfRule type="cellIs" priority="12" operator="equal" dxfId="1">
      <formula>"Needs attention"</formula>
    </cfRule>
    <cfRule type="cellIs" priority="13" operator="equal" dxfId="2">
      <formula>"Not checked"</formula>
    </cfRule>
  </conditionalFormatting>
  <conditionalFormatting sqref="G6:G35">
    <cfRule type="cellIs" priority="14" operator="equal" dxfId="0">
      <formula>"No play"</formula>
    </cfRule>
    <cfRule type="cellIs" priority="15" operator="equal" dxfId="1">
      <formula>"Play found"</formula>
    </cfRule>
    <cfRule type="cellIs" priority="16" operator="equal" dxfId="2">
      <formula>"Not checked"</formula>
    </cfRule>
  </conditionalFormatting>
  <conditionalFormatting sqref="H6:H35">
    <cfRule type="cellIs" priority="17" operator="equal" dxfId="0">
      <formula>"OK"</formula>
    </cfRule>
    <cfRule type="cellIs" priority="18" operator="equal" dxfId="1">
      <formula>"Needs attention"</formula>
    </cfRule>
    <cfRule type="cellIs" priority="19" operator="equal" dxfId="2">
      <formula>"Not checked"</formula>
    </cfRule>
  </conditionalFormatting>
  <conditionalFormatting sqref="L6:L35">
    <cfRule type="cellIs" priority="20" operator="equal" dxfId="1">
      <formula>"Yes"</formula>
    </cfRule>
    <cfRule type="cellIs" priority="21" operator="equal" dxfId="0">
      <formula>"No"</formula>
    </cfRule>
    <cfRule type="cellIs" priority="22" operator="equal" dxfId="2">
      <formula>"No record"</formula>
    </cfRule>
  </conditionalFormatting>
  <conditionalFormatting sqref="A6:A35">
    <cfRule type="expression" priority="23" dxfId="3">
      <formula>L6="Yes"</formula>
    </cfRule>
  </conditionalFormatting>
  <printOptions horizontalCentered="1"/>
  <pageMargins left="0.4" right="0.4" top="0.7" bottom="0.5" header="0.25" footer="0.25"/>
  <pageSetup orientation="landscape" paperSize="9" fitToHeight="0" fitToWidth="1"/>
  <headerFooter>
    <oddHeader>&amp;C&amp;"Calibri"&amp;12 Latest check on each bike</oddHeader>
    <oddFooter>&amp;L&amp;"Calibri"&amp;9 Bike service log&amp;R&amp;"Calibri"&amp;9 Page &amp;P of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6B7280"/>
    <outlinePr summaryBelow="1" summaryRight="1"/>
    <pageSetUpPr fitToPage="1"/>
  </sheetPr>
  <dimension ref="B1:C60"/>
  <sheetViews>
    <sheetView showGridLines="0" zoomScale="110" workbookViewId="0">
      <selection activeCell="B4" sqref="B4"/>
    </sheetView>
  </sheetViews>
  <sheetFormatPr baseColWidth="8" defaultRowHeight="15"/>
  <cols>
    <col width="3" customWidth="1" min="1" max="1"/>
    <col width="28" customWidth="1" min="2" max="2"/>
    <col width="78" customWidth="1" min="3" max="3"/>
    <col width="18" customWidth="1" min="4" max="4"/>
  </cols>
  <sheetData>
    <row r="1" ht="32" customHeight="1">
      <c r="B1" s="15" t="inlineStr">
        <is>
          <t>Bike service log</t>
        </is>
      </c>
    </row>
    <row r="2" ht="22" customHeight="1">
      <c r="B2" s="16" t="inlineStr">
        <is>
          <t>A record of the work done on each bike. One row on Service log is one visit.</t>
        </is>
      </c>
    </row>
    <row r="4" ht="24" customHeight="1">
      <c r="B4" s="17" t="inlineStr">
        <is>
          <t>What you record</t>
        </is>
      </c>
    </row>
    <row r="5" ht="20" customHeight="1">
      <c r="B5" s="18" t="inlineStr">
        <is>
          <t>General clean-up of the frame and drivetrain.</t>
        </is>
      </c>
    </row>
    <row r="6" ht="20" customHeight="1">
      <c r="B6" s="18" t="inlineStr">
        <is>
          <t>Drivetrain check, and the chain-wear reading.</t>
        </is>
      </c>
    </row>
    <row r="7" ht="20" customHeight="1">
      <c r="B7" s="18" t="inlineStr">
        <is>
          <t>Brake check.</t>
        </is>
      </c>
    </row>
    <row r="8" ht="20" customHeight="1">
      <c r="B8" s="18" t="inlineStr">
        <is>
          <t>Headset play check.</t>
        </is>
      </c>
    </row>
    <row r="9" ht="20" customHeight="1">
      <c r="B9" s="18" t="inlineStr">
        <is>
          <t>Tyre check, and the front and rear pressure.</t>
        </is>
      </c>
    </row>
    <row r="11" ht="24" customHeight="1">
      <c r="B11" s="17" t="inlineStr">
        <is>
          <t>What to look at</t>
        </is>
      </c>
    </row>
    <row r="12" ht="20" customHeight="1">
      <c r="B12" s="18" t="inlineStr">
        <is>
          <t>Clean-up — wipe the frame, and clean the chain, cassette, chainrings, and jockey wheels.</t>
        </is>
      </c>
    </row>
    <row r="13" ht="20" customHeight="1">
      <c r="B13" s="18" t="inlineStr">
        <is>
          <t>Drivetrain — cassette, chainrings, and that the gears shift cleanly.</t>
        </is>
      </c>
    </row>
    <row r="14" ht="48" customHeight="1">
      <c r="B14" s="18" t="inlineStr">
        <is>
          <t>Chain wear — the mark on a chain checker. 0.75% and 1% or more flag the bike. Many 12-speed and 13-speed chains are replaced at 0.5%; if that is your rule, set Drivetrain to Needs attention.</t>
        </is>
      </c>
    </row>
    <row r="15" ht="20" customHeight="1">
      <c r="B15" s="18" t="inlineStr">
        <is>
          <t>Brakes — pads, discs or rims, lever feel, and any rub.</t>
        </is>
      </c>
    </row>
    <row r="16" ht="20" customHeight="1">
      <c r="B16" s="18" t="inlineStr">
        <is>
          <t>Headset — hold the front brake and rock the bike. A knock or movement is play.</t>
        </is>
      </c>
    </row>
    <row r="17" ht="20" customHeight="1">
      <c r="B17" s="18" t="inlineStr">
        <is>
          <t>Tyres — both tyres, for cuts and wear, and that the bead is seated.</t>
        </is>
      </c>
    </row>
    <row r="18" ht="36" customHeight="1">
      <c r="B18" s="18" t="inlineStr">
        <is>
          <t>Pressure — front and rear, in psi or bar. Use the same unit each time for a bike. The right number depends on the tyre, so it is recorded and not judged.</t>
        </is>
      </c>
    </row>
    <row r="20" ht="24" customHeight="1">
      <c r="B20" s="17" t="inlineStr">
        <is>
          <t>The sheets</t>
        </is>
      </c>
    </row>
    <row r="21" ht="20" customHeight="1">
      <c r="B21" s="18" t="inlineStr">
        <is>
          <t>Service log — fill this in on the day. Three hundred rows are ready; type in the next empty one.</t>
        </is>
      </c>
    </row>
    <row r="22" ht="20" customHeight="1">
      <c r="B22" s="18" t="inlineStr">
        <is>
          <t>Bikes — list each bike once. The Bike dropdown on the service log reads this list.</t>
        </is>
      </c>
    </row>
    <row r="23" ht="20" customHeight="1">
      <c r="B23" s="18" t="inlineStr">
        <is>
          <t>Latest — the most recent result for each bike, including chain wear and tyre pressure. It fills itself in.</t>
        </is>
      </c>
    </row>
    <row r="24" ht="20" customHeight="1">
      <c r="B24" s="18" t="inlineStr">
        <is>
          <t>How to use — this page.</t>
        </is>
      </c>
    </row>
    <row r="26" ht="24" customHeight="1">
      <c r="B26" s="17" t="inlineStr">
        <is>
          <t>Add a bike</t>
        </is>
      </c>
    </row>
    <row r="27" ht="20" customHeight="1">
      <c r="B27" s="18" t="inlineStr">
        <is>
          <t>1. Open Bikes and type the name in the next free Bike cell.</t>
        </is>
      </c>
    </row>
    <row r="28" ht="20" customHeight="1">
      <c r="B28" s="18" t="inlineStr">
        <is>
          <t>2. Do not leave an empty name between bikes. If you remove one, move the later names up.</t>
        </is>
      </c>
    </row>
    <row r="29" ht="20" customHeight="1">
      <c r="B29" s="18" t="inlineStr">
        <is>
          <t>3. Make, model, type, year, size, serial number, and rider are optional.</t>
        </is>
      </c>
    </row>
    <row r="31" ht="24" customHeight="1">
      <c r="B31" s="17" t="inlineStr">
        <is>
          <t>Log a visit</t>
        </is>
      </c>
    </row>
    <row r="32" ht="20" customHeight="1">
      <c r="B32" s="18" t="inlineStr">
        <is>
          <t>1. Open Service log. Enter the date and pick the bike.</t>
        </is>
      </c>
    </row>
    <row r="33" ht="20" customHeight="1">
      <c r="B33" s="18" t="inlineStr">
        <is>
          <t>2. Set the clean-up, each check, the chain wear, and psi or bar from the dropdowns.</t>
        </is>
      </c>
    </row>
    <row r="34" ht="20" customHeight="1">
      <c r="B34" s="18" t="inlineStr">
        <is>
          <t>3. Enter the front and rear pressure. Leave them blank if you did not measure.</t>
        </is>
      </c>
    </row>
    <row r="35" ht="20" customHeight="1">
      <c r="B35" s="18" t="inlineStr">
        <is>
          <t>4. If something needs attention, say what in the notes beside it.</t>
        </is>
      </c>
    </row>
    <row r="37" ht="24" customHeight="1">
      <c r="B37" s="17" t="inlineStr">
        <is>
          <t>What the words mean</t>
        </is>
      </c>
    </row>
    <row r="38">
      <c r="B38" s="19" t="inlineStr">
        <is>
          <t>You enter</t>
        </is>
      </c>
      <c r="C38" s="19" t="inlineStr">
        <is>
          <t>Meaning</t>
        </is>
      </c>
    </row>
    <row r="39" ht="20" customHeight="1">
      <c r="B39" s="20" t="inlineStr">
        <is>
          <t>Done</t>
        </is>
      </c>
      <c r="C39" s="21" t="inlineStr">
        <is>
          <t>Clean-up was done.</t>
        </is>
      </c>
    </row>
    <row r="40" ht="20" customHeight="1">
      <c r="B40" s="22" t="inlineStr">
        <is>
          <t>Not done</t>
        </is>
      </c>
      <c r="C40" s="21" t="inlineStr">
        <is>
          <t>Clean-up was not done this visit.</t>
        </is>
      </c>
    </row>
    <row r="41" ht="20" customHeight="1">
      <c r="B41" s="20" t="inlineStr">
        <is>
          <t>OK</t>
        </is>
      </c>
      <c r="C41" s="21" t="inlineStr">
        <is>
          <t>That check was fine.</t>
        </is>
      </c>
    </row>
    <row r="42" ht="20" customHeight="1">
      <c r="B42" s="22" t="inlineStr">
        <is>
          <t>Needs attention</t>
        </is>
      </c>
      <c r="C42" s="21" t="inlineStr">
        <is>
          <t>That check found something to sort. Say what in the notes.</t>
        </is>
      </c>
    </row>
    <row r="43" ht="20" customHeight="1">
      <c r="B43" s="20" t="inlineStr">
        <is>
          <t>No play</t>
        </is>
      </c>
      <c r="C43" s="21" t="inlineStr">
        <is>
          <t>Headset is tight.</t>
        </is>
      </c>
    </row>
    <row r="44" ht="20" customHeight="1">
      <c r="B44" s="22" t="inlineStr">
        <is>
          <t>Play found</t>
        </is>
      </c>
      <c r="C44" s="21" t="inlineStr">
        <is>
          <t>Headset moves and needs sorting.</t>
        </is>
      </c>
    </row>
    <row r="45" ht="20" customHeight="1">
      <c r="B45" s="23" t="inlineStr">
        <is>
          <t>Not checked</t>
        </is>
      </c>
      <c r="C45" s="21" t="inlineStr">
        <is>
          <t>Not looked at this visit.</t>
        </is>
      </c>
    </row>
    <row r="46" ht="20" customHeight="1">
      <c r="B46" s="20" t="inlineStr">
        <is>
          <t>Under 0.5%</t>
        </is>
      </c>
      <c r="C46" s="21" t="inlineStr">
        <is>
          <t>Chain is inside the first mark on the checker.</t>
        </is>
      </c>
    </row>
    <row r="47" ht="20" customHeight="1">
      <c r="B47" s="20" t="inlineStr">
        <is>
          <t>0.5%</t>
        </is>
      </c>
      <c r="C47" s="21" t="inlineStr">
        <is>
          <t>Chain is at 0.5%. Fine for now on most bikes.</t>
        </is>
      </c>
    </row>
    <row r="48" ht="20" customHeight="1">
      <c r="B48" s="22" t="inlineStr">
        <is>
          <t>0.75%</t>
        </is>
      </c>
      <c r="C48" s="21" t="inlineStr">
        <is>
          <t>Chain is at 0.75%. Latest flags the bike.</t>
        </is>
      </c>
    </row>
    <row r="49" ht="20" customHeight="1">
      <c r="B49" s="22" t="inlineStr">
        <is>
          <t>1% or more</t>
        </is>
      </c>
      <c r="C49" s="21" t="inlineStr">
        <is>
          <t>Chain is at or past 1%. Replace it. Latest flags the bike.</t>
        </is>
      </c>
    </row>
    <row r="51" ht="24" customHeight="1">
      <c r="B51" s="17" t="inlineStr">
        <is>
          <t>Latest</t>
        </is>
      </c>
    </row>
    <row r="52" ht="36" customHeight="1">
      <c r="B52" s="18" t="inlineStr">
        <is>
          <t>Needs a look is Yes when the last visit has the clean-up not done, a check that needs attention, headset play, or chain wear of 0.75% or 1% or more.</t>
        </is>
      </c>
    </row>
    <row r="53" ht="36" customHeight="1">
      <c r="B53" s="18" t="inlineStr">
        <is>
          <t>Not checked does not, by itself, flag the bike. Front and rear pressure are shown from the last visit and are not judged.</t>
        </is>
      </c>
    </row>
    <row r="54" ht="20" customHeight="1">
      <c r="B54" s="18" t="inlineStr">
        <is>
          <t>No record means that bike has no dated visit yet. No means the last visit was fine.</t>
        </is>
      </c>
    </row>
    <row r="56" ht="24" customHeight="1">
      <c r="B56" s="17" t="inlineStr">
        <is>
          <t>Names, dates, and the sample rows</t>
        </is>
      </c>
    </row>
    <row r="57" ht="36" customHeight="1">
      <c r="B57" s="18" t="inlineStr">
        <is>
          <t>The log stores the bike name as you picked it. If you rename a bike, older rows keep the old name, and Latest only matches the new one. Pick a name and keep it.</t>
        </is>
      </c>
    </row>
    <row r="58" ht="20" customHeight="1">
      <c r="B58" s="18" t="inlineStr">
        <is>
          <t>Dates are day/month/year. Pressures are numbers, in the unit you pick on that row.</t>
        </is>
      </c>
    </row>
    <row r="59" ht="48" customHeight="1">
      <c r="B59" s="18" t="inlineStr">
        <is>
          <t>Example bike 1, 2, and 3, and the first service row, are samples so you can see the colours. The sample has chain wear at 0.5% and pressures of 65 and 70 psi. Delete that service row, then rename the bikes.</t>
        </is>
      </c>
    </row>
    <row r="60" ht="36" customHeight="1">
      <c r="B60" s="18" t="inlineStr">
        <is>
          <t>Open this file in Excel 2019 or newer, Excel 365, or upload it to Google Sheets. Leave the dropdown wording as it is — the colours and Latest depend on those exact words.</t>
        </is>
      </c>
    </row>
  </sheetData>
  <mergeCells count="40">
    <mergeCell ref="B16:C16"/>
    <mergeCell ref="B54:C54"/>
    <mergeCell ref="B7:C7"/>
    <mergeCell ref="B59:C59"/>
    <mergeCell ref="B22:C22"/>
    <mergeCell ref="B31:C31"/>
    <mergeCell ref="B18:C18"/>
    <mergeCell ref="B27:C27"/>
    <mergeCell ref="B56:C56"/>
    <mergeCell ref="B12:C12"/>
    <mergeCell ref="B58:C58"/>
    <mergeCell ref="B52:C52"/>
    <mergeCell ref="B21:C21"/>
    <mergeCell ref="B2:C2"/>
    <mergeCell ref="B11:C11"/>
    <mergeCell ref="B23:C23"/>
    <mergeCell ref="B14:C14"/>
    <mergeCell ref="B60:C60"/>
    <mergeCell ref="B17:C17"/>
    <mergeCell ref="B1:C1"/>
    <mergeCell ref="B8:C8"/>
    <mergeCell ref="B57:C57"/>
    <mergeCell ref="B53:C53"/>
    <mergeCell ref="B13:C13"/>
    <mergeCell ref="B29:C29"/>
    <mergeCell ref="B34:C34"/>
    <mergeCell ref="B37:C37"/>
    <mergeCell ref="B28:C28"/>
    <mergeCell ref="B9:C9"/>
    <mergeCell ref="B6:C6"/>
    <mergeCell ref="B24:C24"/>
    <mergeCell ref="B15:C15"/>
    <mergeCell ref="B33:C33"/>
    <mergeCell ref="B5:C5"/>
    <mergeCell ref="B20:C20"/>
    <mergeCell ref="B51:C51"/>
    <mergeCell ref="B32:C32"/>
    <mergeCell ref="B26:C26"/>
    <mergeCell ref="B35:C35"/>
    <mergeCell ref="B4:C4"/>
  </mergeCells>
  <printOptions horizontalCentered="1"/>
  <pageMargins left="0.4" right="0.4" top="0.7" bottom="0.5" header="0.25" footer="0.25"/>
  <pageSetup orientation="portrait" paperSize="9" fitToHeight="0" fitToWidth="1"/>
  <headerFooter>
    <oddHeader>&amp;C&amp;"Calibri"&amp;12 How to use</oddHeader>
    <oddFooter>&amp;L&amp;"Calibri"&amp;9 Bike service log&amp;R&amp;"Calibri"&amp;9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s="24" t="inlineStr">
        <is>
          <t>Clean-up</t>
        </is>
      </c>
      <c r="B1" s="24" t="inlineStr">
        <is>
          <t>Check</t>
        </is>
      </c>
      <c r="C1" s="24" t="inlineStr">
        <is>
          <t>Headset</t>
        </is>
      </c>
      <c r="D1" s="24" t="inlineStr">
        <is>
          <t>Type</t>
        </is>
      </c>
      <c r="E1" s="24" t="inlineStr">
        <is>
          <t>Chain wear</t>
        </is>
      </c>
      <c r="F1" s="24" t="inlineStr">
        <is>
          <t>Pressure unit</t>
        </is>
      </c>
    </row>
    <row r="2">
      <c r="A2" t="inlineStr">
        <is>
          <t>Done</t>
        </is>
      </c>
      <c r="B2" t="inlineStr">
        <is>
          <t>OK</t>
        </is>
      </c>
      <c r="C2" t="inlineStr">
        <is>
          <t>No play</t>
        </is>
      </c>
      <c r="D2" t="inlineStr">
        <is>
          <t>Road</t>
        </is>
      </c>
      <c r="E2" t="inlineStr">
        <is>
          <t>Not checked</t>
        </is>
      </c>
      <c r="F2" t="inlineStr">
        <is>
          <t>psi</t>
        </is>
      </c>
    </row>
    <row r="3">
      <c r="A3" t="inlineStr">
        <is>
          <t>Not done</t>
        </is>
      </c>
      <c r="B3" t="inlineStr">
        <is>
          <t>Needs attention</t>
        </is>
      </c>
      <c r="C3" t="inlineStr">
        <is>
          <t>Play found</t>
        </is>
      </c>
      <c r="D3" t="inlineStr">
        <is>
          <t>Gravel</t>
        </is>
      </c>
      <c r="E3" t="inlineStr">
        <is>
          <t>Under 0.5%</t>
        </is>
      </c>
      <c r="F3" t="inlineStr">
        <is>
          <t>bar</t>
        </is>
      </c>
    </row>
    <row r="4">
      <c r="B4" t="inlineStr">
        <is>
          <t>Not checked</t>
        </is>
      </c>
      <c r="C4" t="inlineStr">
        <is>
          <t>Not checked</t>
        </is>
      </c>
      <c r="D4" t="inlineStr">
        <is>
          <t>Mountain</t>
        </is>
      </c>
      <c r="E4" t="inlineStr">
        <is>
          <t>0.5%</t>
        </is>
      </c>
    </row>
    <row r="5">
      <c r="D5" t="inlineStr">
        <is>
          <t>Cyclocross</t>
        </is>
      </c>
      <c r="E5" t="inlineStr">
        <is>
          <t>0.75%</t>
        </is>
      </c>
    </row>
    <row r="6">
      <c r="D6" t="inlineStr">
        <is>
          <t>Time trial</t>
        </is>
      </c>
      <c r="E6" t="inlineStr">
        <is>
          <t>1% or more</t>
        </is>
      </c>
    </row>
    <row r="7">
      <c r="D7" t="inlineStr">
        <is>
          <t>E-bike</t>
        </is>
      </c>
    </row>
    <row r="8">
      <c r="D8" t="inlineStr">
        <is>
          <t>Cargo</t>
        </is>
      </c>
    </row>
    <row r="9">
      <c r="D9" t="inlineStr">
        <is>
          <t>BMX</t>
        </is>
      </c>
    </row>
    <row r="10">
      <c r="D10"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Bike service log</dc:creator>
  <dc:title>Bike service log</dc:title>
  <dc:subject>Clean-up and checks for each bike</dc:subject>
  <dcterms:created xsi:type="dcterms:W3CDTF">2026-10-22T14:13:12Z</dcterms:created>
  <dcterms:modified xsi:type="dcterms:W3CDTF">2026-10-22T14:13:12Z</dcterms:modified>
</cp:coreProperties>
</file>